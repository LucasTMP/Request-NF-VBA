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EstaPasta_de_trabalho" defaultThemeVersion="124226"/>
  <mc:AlternateContent xmlns:mc="http://schemas.openxmlformats.org/markup-compatibility/2006">
    <mc:Choice Requires="x15">
      <x15ac:absPath xmlns:x15ac="http://schemas.microsoft.com/office/spreadsheetml/2010/11/ac" url="C:\Users\Lucas\Desktop\Criacoes\Aplicacoes\NF\"/>
    </mc:Choice>
  </mc:AlternateContent>
  <xr:revisionPtr revIDLastSave="0" documentId="13_ncr:1_{B58C1855-F451-4CD8-AD7D-B5F447F11BDC}" xr6:coauthVersionLast="45" xr6:coauthVersionMax="45" xr10:uidLastSave="{00000000-0000-0000-0000-000000000000}"/>
  <workbookProtection workbookPassword="EE85" lockStructure="1"/>
  <bookViews>
    <workbookView showSheetTabs="0" xWindow="-120" yWindow="-120" windowWidth="20730" windowHeight="11160" xr2:uid="{00000000-000D-0000-FFFF-FFFF00000000}"/>
  </bookViews>
  <sheets>
    <sheet name="Emissão de Nota Fiscal" sheetId="1" r:id="rId1"/>
    <sheet name="Plan2" sheetId="2" r:id="rId2"/>
    <sheet name="Plan3" sheetId="3" r:id="rId3"/>
  </sheets>
  <functionGroups builtInGroupCount="19"/>
  <definedNames>
    <definedName name="finalidade">'Emissão de Nota Fiscal'!$AC$2:$AC$24</definedName>
    <definedName name="natop">'Emissão de Nota Fiscal'!$AC$2:$AC$15</definedName>
    <definedName name="nomesolicitante">'Emissão de Nota Fiscal'!$B$41</definedName>
  </definedNames>
  <calcPr calcId="181029"/>
</workbook>
</file>

<file path=xl/calcChain.xml><?xml version="1.0" encoding="utf-8"?>
<calcChain xmlns="http://schemas.openxmlformats.org/spreadsheetml/2006/main">
  <c r="J1" i="2" l="1"/>
  <c r="G43" i="1" l="1"/>
  <c r="A18" i="2" l="1"/>
  <c r="D21" i="2" l="1"/>
  <c r="C21" i="2" s="1"/>
  <c r="D16" i="2"/>
  <c r="C16" i="2" s="1"/>
  <c r="D22" i="2"/>
  <c r="C22" i="2" s="1"/>
  <c r="D15" i="2"/>
  <c r="C15" i="2" s="1"/>
  <c r="D14" i="2"/>
  <c r="C14" i="2" s="1"/>
  <c r="D20" i="2"/>
  <c r="C20" i="2" s="1"/>
  <c r="D19" i="2"/>
  <c r="C19" i="2" s="1"/>
  <c r="D18" i="2"/>
  <c r="C18" i="2" s="1"/>
  <c r="D17" i="2"/>
  <c r="C17" i="2" s="1"/>
  <c r="D24" i="2"/>
  <c r="C24" i="2" s="1"/>
  <c r="D13" i="2"/>
  <c r="U19" i="1" l="1"/>
  <c r="U20" i="1"/>
  <c r="U21" i="1"/>
  <c r="U22" i="1"/>
  <c r="U23" i="1"/>
  <c r="U24" i="1"/>
  <c r="U25" i="1"/>
  <c r="U26" i="1"/>
  <c r="U27" i="1"/>
  <c r="U18" i="1"/>
  <c r="U2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Auxiliar_CPD</author>
  </authors>
  <commentList>
    <comment ref="R46" authorId="0" shapeId="0" xr:uid="{00000000-0006-0000-0000-000001000000}">
      <text>
        <r>
          <rPr>
            <sz val="11"/>
            <color indexed="81"/>
            <rFont val="Tahoma"/>
            <family val="2"/>
          </rPr>
          <t>Será enviado um e-mail para o setor fiscal.</t>
        </r>
      </text>
    </comment>
  </commentList>
</comments>
</file>

<file path=xl/sharedStrings.xml><?xml version="1.0" encoding="utf-8"?>
<sst xmlns="http://schemas.openxmlformats.org/spreadsheetml/2006/main" count="114" uniqueCount="98">
  <si>
    <t>PEDIDO DE EMISSÃO DE NOTA FISCAL</t>
  </si>
  <si>
    <t>Natureza de Operação:</t>
  </si>
  <si>
    <t>Endereço:</t>
  </si>
  <si>
    <t>Bairro/Distrito:</t>
  </si>
  <si>
    <t>UF</t>
  </si>
  <si>
    <t>Telefone:</t>
  </si>
  <si>
    <t>CEP:</t>
  </si>
  <si>
    <t>Município:</t>
  </si>
  <si>
    <t>Cód. Item</t>
  </si>
  <si>
    <t>Un.</t>
  </si>
  <si>
    <t>Qtde.</t>
  </si>
  <si>
    <t>VALOR FINAL</t>
  </si>
  <si>
    <t>UN</t>
  </si>
  <si>
    <t>Descrição dos Produtos</t>
  </si>
  <si>
    <t>Valor Unitário</t>
  </si>
  <si>
    <t>Valor Total</t>
  </si>
  <si>
    <t>SETORES</t>
  </si>
  <si>
    <t>AC</t>
  </si>
  <si>
    <t>AL</t>
  </si>
  <si>
    <t>AM</t>
  </si>
  <si>
    <t>AP</t>
  </si>
  <si>
    <t>BA</t>
  </si>
  <si>
    <t>CE</t>
  </si>
  <si>
    <t>DF</t>
  </si>
  <si>
    <t>ES</t>
  </si>
  <si>
    <t>GO</t>
  </si>
  <si>
    <t>MA</t>
  </si>
  <si>
    <t>MG</t>
  </si>
  <si>
    <t>MS</t>
  </si>
  <si>
    <t>MT</t>
  </si>
  <si>
    <t>PA</t>
  </si>
  <si>
    <t>PB</t>
  </si>
  <si>
    <t>PE</t>
  </si>
  <si>
    <t>PI</t>
  </si>
  <si>
    <t>PR</t>
  </si>
  <si>
    <t>RJ</t>
  </si>
  <si>
    <t>RN</t>
  </si>
  <si>
    <t>RO</t>
  </si>
  <si>
    <t>RR</t>
  </si>
  <si>
    <t>RS</t>
  </si>
  <si>
    <t>SC</t>
  </si>
  <si>
    <t>SE</t>
  </si>
  <si>
    <t>SP</t>
  </si>
  <si>
    <t>TO</t>
  </si>
  <si>
    <t>Contabilidade</t>
  </si>
  <si>
    <t>Financeiro</t>
  </si>
  <si>
    <t>Manutenção</t>
  </si>
  <si>
    <t>Produção</t>
  </si>
  <si>
    <t>Recursos Humanos</t>
  </si>
  <si>
    <t>Controle de Qualidade</t>
  </si>
  <si>
    <t>Tecnologia da Informação</t>
  </si>
  <si>
    <t>Fiscal</t>
  </si>
  <si>
    <t>Administração</t>
  </si>
  <si>
    <t>Compras</t>
  </si>
  <si>
    <t>Engenharia</t>
  </si>
  <si>
    <t>Diretoria</t>
  </si>
  <si>
    <t>O material possui um retorno previsto:</t>
  </si>
  <si>
    <t>Nat. Op</t>
  </si>
  <si>
    <t>Simples remessa/Outras saídas</t>
  </si>
  <si>
    <t>Conserto</t>
  </si>
  <si>
    <t>Devolução</t>
  </si>
  <si>
    <t xml:space="preserve">Amostra </t>
  </si>
  <si>
    <t>Beneficiamento/Industrialização</t>
  </si>
  <si>
    <t>Não</t>
  </si>
  <si>
    <t>Exportação</t>
  </si>
  <si>
    <t>Importação</t>
  </si>
  <si>
    <t>Remessa</t>
  </si>
  <si>
    <t>Prestação de Serviço</t>
  </si>
  <si>
    <t>Compra</t>
  </si>
  <si>
    <t>Retorno</t>
  </si>
  <si>
    <t>x</t>
  </si>
  <si>
    <t>CIP</t>
  </si>
  <si>
    <t>Finalidade de Envio</t>
  </si>
  <si>
    <t>Afiação</t>
  </si>
  <si>
    <t>Inspeção</t>
  </si>
  <si>
    <t>Laboratório</t>
  </si>
  <si>
    <t>Recebimento</t>
  </si>
  <si>
    <t>Vendas</t>
  </si>
  <si>
    <t xml:space="preserve"> Solicitante:</t>
  </si>
  <si>
    <t xml:space="preserve"> Setor:</t>
  </si>
  <si>
    <t xml:space="preserve"> Data Coleta:</t>
  </si>
  <si>
    <t xml:space="preserve"> Observações:</t>
  </si>
  <si>
    <t xml:space="preserve"> Condição:</t>
  </si>
  <si>
    <t xml:space="preserve"> Fornecedor/Razão Social:</t>
  </si>
  <si>
    <t xml:space="preserve"> Empresa:</t>
  </si>
  <si>
    <t xml:space="preserve"> Transporte:</t>
  </si>
  <si>
    <t xml:space="preserve"> CNPJ/CPF:</t>
  </si>
  <si>
    <t>PC</t>
  </si>
  <si>
    <t>LT</t>
  </si>
  <si>
    <t>KG</t>
  </si>
  <si>
    <t>M</t>
  </si>
  <si>
    <t>ML</t>
  </si>
  <si>
    <t>Lorem Ipsum is simply dummy text of the printing and typesetting industry. Lorem Ipsum has been th</t>
  </si>
  <si>
    <t>ook a galley of type and scrambled it to make a type specimen book. It has survived not only five centuries, but also the l</t>
  </si>
  <si>
    <t>Lorem Ipsum</t>
  </si>
  <si>
    <t>Teste Empresarial</t>
  </si>
  <si>
    <t>Lorem Ipsum is simply dummy text of the printing and typesetting industry. Lorem Ipsum has been the industry's standard dummy text ever since the 1500s, when anLorem Ipsum is simply dummy text of the printing and typesetting industry. Lorem Ipsum has been the industry's standard dummy text ever since the 1500s, when an unknown printer took a galley of type and scrambled it to make a type specimen book. It has survived not only five centuries, but also the l unknown printer took a galley of type and scrambled it to make a type specimen book. It has survived not only five centuries, but also the l</t>
  </si>
  <si>
    <t>Marcelinho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</si>
</sst>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R$&quot;\ #,##0.00"/>
    <numFmt numFmtId="165" formatCode="[&lt;=99999999999]000\.000\.000\-00;00\.000\.000\/0000\-00"/>
    <numFmt numFmtId="166" formatCode="00000\-000"/>
    <numFmt numFmtId="167" formatCode="[&gt;9999999999]&quot;(&quot;##&quot;) &quot;#####\-####;\ &quot;(&quot;##&quot;) &quot;####\-####"/>
    <numFmt numFmtId="168" formatCode="#,###,###"/>
  </numFmts>
  <fonts count="11" x14ac:knownFonts="1">
    <font>
      <sz val="11"/>
      <color theme="1"/>
      <name val="Calibri"/>
      <family val="2"/>
      <scheme val="minor"/>
    </font>
    <font>
      <sz val="10"/>
      <name val="Arial"/>
      <family val="2"/>
    </font>
    <font>
      <sz val="12"/>
      <color theme="1"/>
      <name val="Calibri"/>
      <family val="2"/>
      <scheme val="minor"/>
    </font>
    <font>
      <b/>
      <sz val="12"/>
      <color theme="1"/>
      <name val="Calibri"/>
      <family val="2"/>
      <scheme val="minor"/>
    </font>
    <font>
      <b/>
      <sz val="16"/>
      <color theme="1"/>
      <name val="Calibri"/>
      <family val="2"/>
      <scheme val="minor"/>
    </font>
    <font>
      <b/>
      <sz val="11"/>
      <color theme="1"/>
      <name val="Calibri"/>
      <family val="2"/>
      <scheme val="minor"/>
    </font>
    <font>
      <sz val="11"/>
      <name val="Calibri"/>
      <family val="2"/>
      <scheme val="minor"/>
    </font>
    <font>
      <b/>
      <sz val="26"/>
      <color theme="1"/>
      <name val="Calibri"/>
      <family val="2"/>
      <scheme val="minor"/>
    </font>
    <font>
      <sz val="12"/>
      <name val="Calibri"/>
      <family val="2"/>
      <scheme val="minor"/>
    </font>
    <font>
      <b/>
      <u/>
      <sz val="11"/>
      <color theme="1"/>
      <name val="Calibri"/>
      <family val="2"/>
      <scheme val="minor"/>
    </font>
    <font>
      <sz val="11"/>
      <color indexed="81"/>
      <name val="Tahoma"/>
      <family val="2"/>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29">
    <border>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diagonal/>
    </border>
    <border>
      <left style="thin">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s>
  <cellStyleXfs count="1">
    <xf numFmtId="0" fontId="0" fillId="0" borderId="0"/>
  </cellStyleXfs>
  <cellXfs count="152">
    <xf numFmtId="0" fontId="0" fillId="0" borderId="0" xfId="0"/>
    <xf numFmtId="0" fontId="2" fillId="0" borderId="0" xfId="0" applyFont="1"/>
    <xf numFmtId="0" fontId="0" fillId="2" borderId="0" xfId="0" applyFill="1"/>
    <xf numFmtId="0" fontId="0" fillId="2" borderId="0" xfId="0" applyFill="1" applyBorder="1"/>
    <xf numFmtId="0" fontId="0" fillId="2" borderId="1" xfId="0" applyFill="1" applyBorder="1"/>
    <xf numFmtId="0" fontId="3" fillId="3" borderId="1" xfId="0" applyFont="1" applyFill="1" applyBorder="1" applyAlignment="1"/>
    <xf numFmtId="0" fontId="2" fillId="2" borderId="0" xfId="0" applyFont="1" applyFill="1"/>
    <xf numFmtId="0" fontId="3" fillId="3" borderId="2" xfId="0" applyFont="1" applyFill="1" applyBorder="1" applyAlignment="1">
      <alignment horizontal="center"/>
    </xf>
    <xf numFmtId="0" fontId="0" fillId="2" borderId="0" xfId="0" applyFill="1" applyAlignment="1">
      <alignment horizontal="left" vertical="center"/>
    </xf>
    <xf numFmtId="0" fontId="0" fillId="0" borderId="0" xfId="0" applyAlignment="1">
      <alignment horizontal="left" vertical="center"/>
    </xf>
    <xf numFmtId="0" fontId="0" fillId="2" borderId="0" xfId="0" applyFill="1" applyBorder="1" applyAlignment="1">
      <alignment horizontal="left" vertical="center"/>
    </xf>
    <xf numFmtId="0" fontId="4" fillId="2" borderId="1" xfId="0" applyFont="1" applyFill="1" applyBorder="1" applyAlignment="1">
      <alignment horizontal="center"/>
    </xf>
    <xf numFmtId="0" fontId="0" fillId="2" borderId="0" xfId="0" applyFill="1" applyBorder="1" applyProtection="1"/>
    <xf numFmtId="0" fontId="0" fillId="2" borderId="3" xfId="0" applyFill="1" applyBorder="1" applyProtection="1"/>
    <xf numFmtId="0" fontId="0" fillId="2" borderId="4" xfId="0" applyFill="1" applyBorder="1" applyProtection="1"/>
    <xf numFmtId="0" fontId="0" fillId="2" borderId="5" xfId="0" applyFill="1" applyBorder="1" applyProtection="1"/>
    <xf numFmtId="0" fontId="0" fillId="2" borderId="6" xfId="0" applyFill="1" applyBorder="1"/>
    <xf numFmtId="0" fontId="4" fillId="2" borderId="7" xfId="0" applyFont="1" applyFill="1" applyBorder="1" applyAlignment="1">
      <alignment horizontal="center"/>
    </xf>
    <xf numFmtId="0" fontId="0" fillId="2" borderId="7" xfId="0" applyFill="1" applyBorder="1"/>
    <xf numFmtId="0" fontId="0" fillId="2" borderId="5" xfId="0" applyFill="1" applyBorder="1"/>
    <xf numFmtId="0" fontId="0" fillId="2" borderId="8" xfId="0" applyFill="1" applyBorder="1"/>
    <xf numFmtId="0" fontId="1" fillId="0" borderId="0" xfId="0" applyFont="1"/>
    <xf numFmtId="0" fontId="5" fillId="0" borderId="0" xfId="0" applyFont="1"/>
    <xf numFmtId="49" fontId="0" fillId="2" borderId="12" xfId="0" applyNumberFormat="1" applyFill="1" applyBorder="1" applyAlignment="1" applyProtection="1">
      <alignment horizontal="center" vertical="center"/>
      <protection locked="0"/>
    </xf>
    <xf numFmtId="49" fontId="0" fillId="2" borderId="13" xfId="0" applyNumberFormat="1" applyFill="1" applyBorder="1" applyAlignment="1" applyProtection="1">
      <alignment horizontal="center" vertical="center"/>
      <protection locked="0"/>
    </xf>
    <xf numFmtId="0" fontId="6" fillId="0" borderId="0" xfId="0" applyFont="1"/>
    <xf numFmtId="0" fontId="6" fillId="0" borderId="0" xfId="0" applyFont="1" applyAlignment="1">
      <alignment vertical="center"/>
    </xf>
    <xf numFmtId="14" fontId="0" fillId="2" borderId="0" xfId="0" applyNumberFormat="1" applyFill="1" applyBorder="1" applyAlignment="1" applyProtection="1">
      <alignment vertical="center"/>
    </xf>
    <xf numFmtId="0" fontId="0" fillId="2" borderId="2" xfId="0" applyFill="1" applyBorder="1" applyAlignment="1" applyProtection="1">
      <alignment horizontal="center" vertical="center"/>
      <protection locked="0"/>
    </xf>
    <xf numFmtId="49" fontId="0" fillId="2" borderId="1" xfId="0" applyNumberFormat="1" applyFill="1" applyBorder="1" applyAlignment="1" applyProtection="1">
      <alignment vertical="center"/>
      <protection locked="0"/>
    </xf>
    <xf numFmtId="0" fontId="8" fillId="0" borderId="0" xfId="0" applyFont="1"/>
    <xf numFmtId="49" fontId="0" fillId="0" borderId="0" xfId="0" applyNumberFormat="1" applyAlignment="1">
      <alignment horizontal="left" vertical="center"/>
    </xf>
    <xf numFmtId="0" fontId="2" fillId="0" borderId="0" xfId="0" applyNumberFormat="1" applyFont="1"/>
    <xf numFmtId="0" fontId="0" fillId="2" borderId="0" xfId="0" applyFill="1" applyAlignment="1">
      <alignment horizontal="center" vertical="center"/>
    </xf>
    <xf numFmtId="0" fontId="0" fillId="0" borderId="0" xfId="0" applyAlignment="1">
      <alignment horizontal="center" vertical="center"/>
    </xf>
    <xf numFmtId="0" fontId="2" fillId="2" borderId="0" xfId="0" quotePrefix="1" applyFont="1" applyFill="1"/>
    <xf numFmtId="0" fontId="0" fillId="0" borderId="0" xfId="0" applyFont="1" applyAlignment="1">
      <alignment vertical="center"/>
    </xf>
    <xf numFmtId="0" fontId="0" fillId="0" borderId="0" xfId="0" applyBorder="1" applyProtection="1"/>
    <xf numFmtId="0" fontId="0" fillId="0" borderId="5" xfId="0" applyBorder="1" applyProtection="1"/>
    <xf numFmtId="0" fontId="0" fillId="0" borderId="8" xfId="0" applyBorder="1" applyProtection="1"/>
    <xf numFmtId="0" fontId="0" fillId="0" borderId="0" xfId="0" applyBorder="1" applyAlignment="1" applyProtection="1">
      <alignment horizontal="left" vertical="center"/>
    </xf>
    <xf numFmtId="0" fontId="0" fillId="2" borderId="8" xfId="0" applyFill="1" applyBorder="1" applyAlignment="1" applyProtection="1">
      <alignment horizontal="left" vertical="center"/>
    </xf>
    <xf numFmtId="0" fontId="0" fillId="2" borderId="9" xfId="0" applyFill="1" applyBorder="1" applyProtection="1"/>
    <xf numFmtId="0" fontId="0" fillId="2" borderId="10" xfId="0" applyFill="1" applyBorder="1" applyProtection="1"/>
    <xf numFmtId="0" fontId="0" fillId="2" borderId="11" xfId="0" applyFill="1" applyBorder="1" applyProtection="1"/>
    <xf numFmtId="49" fontId="0" fillId="2" borderId="1" xfId="0" applyNumberFormat="1" applyFill="1" applyBorder="1" applyAlignment="1" applyProtection="1">
      <alignment vertical="center"/>
    </xf>
    <xf numFmtId="49" fontId="0" fillId="2" borderId="7" xfId="0" applyNumberFormat="1" applyFill="1" applyBorder="1" applyAlignment="1" applyProtection="1">
      <alignment vertical="center"/>
    </xf>
    <xf numFmtId="14" fontId="0" fillId="2" borderId="1" xfId="0" applyNumberFormat="1" applyFont="1" applyFill="1" applyBorder="1" applyAlignment="1" applyProtection="1">
      <alignment horizontal="left" indent="1"/>
    </xf>
    <xf numFmtId="14" fontId="0" fillId="2" borderId="1" xfId="0" applyNumberFormat="1" applyFill="1" applyBorder="1" applyAlignment="1" applyProtection="1"/>
    <xf numFmtId="0" fontId="0" fillId="2" borderId="1" xfId="0" applyFill="1" applyBorder="1" applyProtection="1"/>
    <xf numFmtId="0" fontId="0" fillId="2" borderId="1" xfId="0" applyFill="1" applyBorder="1" applyAlignment="1" applyProtection="1">
      <alignment horizontal="left" indent="2"/>
    </xf>
    <xf numFmtId="0" fontId="0" fillId="2" borderId="7" xfId="0" applyFill="1" applyBorder="1" applyProtection="1"/>
    <xf numFmtId="0" fontId="3" fillId="4" borderId="6" xfId="0" applyFont="1" applyFill="1" applyBorder="1" applyAlignment="1"/>
    <xf numFmtId="0" fontId="3" fillId="4" borderId="1" xfId="0" applyFont="1" applyFill="1" applyBorder="1" applyAlignment="1"/>
    <xf numFmtId="0" fontId="3" fillId="4" borderId="12" xfId="0" applyFont="1" applyFill="1" applyBorder="1" applyAlignment="1">
      <alignment horizontal="center" vertical="center"/>
    </xf>
    <xf numFmtId="0" fontId="0" fillId="4" borderId="6" xfId="0" applyFill="1" applyBorder="1"/>
    <xf numFmtId="0" fontId="0" fillId="4" borderId="1" xfId="0" applyFill="1" applyBorder="1"/>
    <xf numFmtId="49" fontId="0" fillId="2" borderId="6" xfId="0" applyNumberFormat="1" applyFill="1" applyBorder="1" applyAlignment="1" applyProtection="1">
      <alignment horizontal="left" indent="1"/>
      <protection locked="0"/>
    </xf>
    <xf numFmtId="49" fontId="0" fillId="2" borderId="1" xfId="0" applyNumberFormat="1" applyFill="1" applyBorder="1" applyAlignment="1" applyProtection="1">
      <alignment horizontal="left" indent="1"/>
      <protection locked="0"/>
    </xf>
    <xf numFmtId="49" fontId="0" fillId="2" borderId="2" xfId="0" applyNumberFormat="1" applyFill="1" applyBorder="1" applyAlignment="1" applyProtection="1">
      <alignment horizontal="left" indent="1"/>
      <protection locked="0"/>
    </xf>
    <xf numFmtId="0" fontId="0" fillId="2" borderId="6" xfId="0" applyFill="1" applyBorder="1" applyAlignment="1" applyProtection="1">
      <alignment horizontal="left" indent="1"/>
      <protection locked="0"/>
    </xf>
    <xf numFmtId="0" fontId="0" fillId="2" borderId="1" xfId="0" applyFill="1" applyBorder="1" applyAlignment="1" applyProtection="1">
      <alignment horizontal="left" indent="1"/>
      <protection locked="0"/>
    </xf>
    <xf numFmtId="0" fontId="0" fillId="2" borderId="7" xfId="0" applyFill="1" applyBorder="1" applyAlignment="1" applyProtection="1">
      <alignment horizontal="left" indent="1"/>
      <protection locked="0"/>
    </xf>
    <xf numFmtId="0" fontId="3" fillId="4" borderId="6" xfId="0" applyFont="1" applyFill="1" applyBorder="1" applyAlignment="1" applyProtection="1">
      <alignment horizontal="left"/>
    </xf>
    <xf numFmtId="0" fontId="3" fillId="4" borderId="1" xfId="0" applyFont="1" applyFill="1" applyBorder="1" applyAlignment="1" applyProtection="1">
      <alignment horizontal="left"/>
    </xf>
    <xf numFmtId="0" fontId="3" fillId="4" borderId="2" xfId="0" applyFont="1" applyFill="1" applyBorder="1" applyAlignment="1" applyProtection="1">
      <alignment horizontal="left"/>
    </xf>
    <xf numFmtId="0" fontId="3" fillId="4" borderId="7" xfId="0" applyFont="1" applyFill="1" applyBorder="1" applyAlignment="1" applyProtection="1">
      <alignment horizontal="left"/>
    </xf>
    <xf numFmtId="0" fontId="3" fillId="4" borderId="14" xfId="0" applyFont="1" applyFill="1" applyBorder="1" applyAlignment="1" applyProtection="1">
      <alignment horizontal="left"/>
    </xf>
    <xf numFmtId="49" fontId="0" fillId="2" borderId="1" xfId="0" applyNumberFormat="1" applyFill="1" applyBorder="1" applyAlignment="1" applyProtection="1">
      <alignment horizontal="left" vertical="center" indent="3"/>
      <protection locked="0"/>
    </xf>
    <xf numFmtId="49" fontId="0" fillId="2" borderId="2" xfId="0" applyNumberFormat="1" applyFill="1" applyBorder="1" applyAlignment="1" applyProtection="1">
      <alignment horizontal="left" vertical="center" indent="3"/>
      <protection locked="0"/>
    </xf>
    <xf numFmtId="164" fontId="0" fillId="2" borderId="14" xfId="0" applyNumberFormat="1" applyFill="1" applyBorder="1" applyAlignment="1">
      <alignment horizontal="left" vertical="center"/>
    </xf>
    <xf numFmtId="164" fontId="0" fillId="2" borderId="19" xfId="0" applyNumberFormat="1" applyFill="1" applyBorder="1" applyAlignment="1">
      <alignment horizontal="left" vertical="center"/>
    </xf>
    <xf numFmtId="164" fontId="0" fillId="2" borderId="22" xfId="0" applyNumberFormat="1" applyFill="1" applyBorder="1" applyAlignment="1">
      <alignment horizontal="left" vertical="center"/>
    </xf>
    <xf numFmtId="168" fontId="0" fillId="2" borderId="15" xfId="0" applyNumberFormat="1" applyFill="1" applyBorder="1" applyAlignment="1" applyProtection="1">
      <alignment horizontal="center" vertical="center"/>
      <protection locked="0"/>
    </xf>
    <xf numFmtId="168" fontId="0" fillId="2" borderId="2" xfId="0" applyNumberFormat="1" applyFill="1" applyBorder="1" applyAlignment="1" applyProtection="1">
      <alignment horizontal="center" vertical="center"/>
      <protection locked="0"/>
    </xf>
    <xf numFmtId="168" fontId="0" fillId="2" borderId="12" xfId="0" applyNumberFormat="1" applyFill="1" applyBorder="1" applyAlignment="1" applyProtection="1">
      <alignment horizontal="center" vertical="center"/>
      <protection locked="0"/>
    </xf>
    <xf numFmtId="49" fontId="0" fillId="2" borderId="14" xfId="0" applyNumberFormat="1" applyFont="1" applyFill="1" applyBorder="1" applyAlignment="1" applyProtection="1">
      <alignment horizontal="left" vertical="center" wrapText="1"/>
      <protection locked="0"/>
    </xf>
    <xf numFmtId="49" fontId="0" fillId="2" borderId="1" xfId="0" applyNumberFormat="1" applyFont="1" applyFill="1" applyBorder="1" applyAlignment="1" applyProtection="1">
      <alignment horizontal="left" vertical="center" wrapText="1"/>
      <protection locked="0"/>
    </xf>
    <xf numFmtId="49" fontId="0" fillId="2" borderId="2" xfId="0" applyNumberFormat="1" applyFont="1" applyFill="1" applyBorder="1" applyAlignment="1" applyProtection="1">
      <alignment horizontal="left" vertical="center" wrapText="1"/>
      <protection locked="0"/>
    </xf>
    <xf numFmtId="164" fontId="0" fillId="2" borderId="12" xfId="0" applyNumberFormat="1" applyFill="1" applyBorder="1" applyAlignment="1" applyProtection="1">
      <alignment horizontal="left" vertical="center"/>
      <protection locked="0"/>
    </xf>
    <xf numFmtId="2" fontId="0" fillId="2" borderId="21" xfId="0" applyNumberFormat="1" applyFill="1" applyBorder="1" applyAlignment="1" applyProtection="1">
      <alignment horizontal="left" vertical="center"/>
      <protection locked="0"/>
    </xf>
    <xf numFmtId="49" fontId="0" fillId="2" borderId="21" xfId="0" applyNumberFormat="1" applyFill="1" applyBorder="1" applyAlignment="1" applyProtection="1">
      <alignment horizontal="center" vertical="center"/>
      <protection locked="0"/>
    </xf>
    <xf numFmtId="168" fontId="0" fillId="2" borderId="6" xfId="0" applyNumberFormat="1" applyFill="1" applyBorder="1" applyAlignment="1" applyProtection="1">
      <alignment horizontal="center" vertical="center"/>
      <protection locked="0"/>
    </xf>
    <xf numFmtId="168" fontId="0" fillId="2" borderId="1" xfId="0" applyNumberFormat="1" applyFill="1" applyBorder="1" applyAlignment="1" applyProtection="1">
      <alignment horizontal="center" vertical="center"/>
      <protection locked="0"/>
    </xf>
    <xf numFmtId="0" fontId="3" fillId="2" borderId="14" xfId="0" applyFont="1" applyFill="1" applyBorder="1" applyAlignment="1">
      <alignment horizontal="center" vertical="center"/>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49" fontId="0" fillId="2" borderId="23" xfId="0" applyNumberFormat="1" applyFill="1" applyBorder="1" applyAlignment="1" applyProtection="1">
      <alignment horizontal="center" vertical="center"/>
      <protection locked="0"/>
    </xf>
    <xf numFmtId="2" fontId="0" fillId="2" borderId="23" xfId="0" applyNumberFormat="1" applyFill="1" applyBorder="1" applyAlignment="1" applyProtection="1">
      <alignment horizontal="left" vertical="center"/>
      <protection locked="0"/>
    </xf>
    <xf numFmtId="168" fontId="0" fillId="2" borderId="20" xfId="0" applyNumberFormat="1" applyFill="1" applyBorder="1" applyAlignment="1" applyProtection="1">
      <alignment horizontal="center" vertical="center"/>
      <protection locked="0"/>
    </xf>
    <xf numFmtId="168" fontId="0" fillId="2" borderId="17" xfId="0" applyNumberFormat="1" applyFill="1" applyBorder="1" applyAlignment="1" applyProtection="1">
      <alignment horizontal="center" vertical="center"/>
      <protection locked="0"/>
    </xf>
    <xf numFmtId="168" fontId="0" fillId="2" borderId="13" xfId="0" applyNumberFormat="1" applyFill="1" applyBorder="1" applyAlignment="1" applyProtection="1">
      <alignment horizontal="center" vertical="center"/>
      <protection locked="0"/>
    </xf>
    <xf numFmtId="164" fontId="0" fillId="2" borderId="1" xfId="0" applyNumberFormat="1" applyFill="1" applyBorder="1" applyAlignment="1">
      <alignment horizontal="left" vertical="center"/>
    </xf>
    <xf numFmtId="164" fontId="0" fillId="2" borderId="7" xfId="0" applyNumberFormat="1" applyFill="1" applyBorder="1" applyAlignment="1">
      <alignment horizontal="left" vertical="center"/>
    </xf>
    <xf numFmtId="49" fontId="0" fillId="2" borderId="14" xfId="0" applyNumberFormat="1" applyFill="1" applyBorder="1" applyAlignment="1" applyProtection="1">
      <alignment horizontal="center" vertical="center"/>
      <protection locked="0"/>
    </xf>
    <xf numFmtId="49" fontId="0" fillId="2" borderId="2" xfId="0" applyNumberFormat="1" applyFill="1" applyBorder="1" applyAlignment="1" applyProtection="1">
      <alignment horizontal="center" vertical="center"/>
      <protection locked="0"/>
    </xf>
    <xf numFmtId="49" fontId="0" fillId="2" borderId="6" xfId="0" applyNumberFormat="1" applyFill="1" applyBorder="1" applyAlignment="1" applyProtection="1">
      <alignment horizontal="left" vertical="center"/>
      <protection locked="0"/>
    </xf>
    <xf numFmtId="49" fontId="0" fillId="2" borderId="1" xfId="0" applyNumberFormat="1" applyFill="1" applyBorder="1" applyAlignment="1" applyProtection="1">
      <alignment horizontal="left" vertical="center"/>
      <protection locked="0"/>
    </xf>
    <xf numFmtId="0" fontId="3" fillId="4" borderId="14" xfId="0" applyFont="1" applyFill="1" applyBorder="1" applyAlignment="1">
      <alignment horizontal="left"/>
    </xf>
    <xf numFmtId="0" fontId="3" fillId="4" borderId="1" xfId="0" applyFont="1" applyFill="1" applyBorder="1" applyAlignment="1">
      <alignment horizontal="left"/>
    </xf>
    <xf numFmtId="0" fontId="3" fillId="4" borderId="7" xfId="0" applyFont="1" applyFill="1" applyBorder="1" applyAlignment="1">
      <alignment horizontal="left"/>
    </xf>
    <xf numFmtId="49" fontId="0" fillId="2" borderId="14" xfId="0" applyNumberFormat="1" applyFill="1" applyBorder="1" applyAlignment="1" applyProtection="1">
      <alignment horizontal="left" vertical="center" indent="1"/>
      <protection locked="0"/>
    </xf>
    <xf numFmtId="49" fontId="0" fillId="2" borderId="1" xfId="0" applyNumberFormat="1" applyFill="1" applyBorder="1" applyAlignment="1" applyProtection="1">
      <alignment horizontal="left" vertical="center" indent="1"/>
      <protection locked="0"/>
    </xf>
    <xf numFmtId="49" fontId="0" fillId="2" borderId="7" xfId="0" applyNumberFormat="1" applyFill="1" applyBorder="1" applyAlignment="1" applyProtection="1">
      <alignment horizontal="left" vertical="center" indent="1"/>
      <protection locked="0"/>
    </xf>
    <xf numFmtId="164" fontId="0" fillId="2" borderId="14" xfId="0" applyNumberFormat="1" applyFill="1" applyBorder="1" applyAlignment="1" applyProtection="1">
      <alignment horizontal="left" vertical="center"/>
      <protection locked="0"/>
    </xf>
    <xf numFmtId="164" fontId="0" fillId="2" borderId="1" xfId="0" applyNumberFormat="1" applyFill="1" applyBorder="1" applyAlignment="1" applyProtection="1">
      <alignment horizontal="left" vertical="center"/>
      <protection locked="0"/>
    </xf>
    <xf numFmtId="164" fontId="0" fillId="2" borderId="2" xfId="0" applyNumberFormat="1" applyFill="1" applyBorder="1" applyAlignment="1" applyProtection="1">
      <alignment horizontal="left" vertical="center"/>
      <protection locked="0"/>
    </xf>
    <xf numFmtId="167" fontId="0" fillId="2" borderId="14" xfId="0" applyNumberFormat="1" applyFill="1" applyBorder="1" applyAlignment="1" applyProtection="1">
      <alignment horizontal="left" vertical="center"/>
      <protection locked="0"/>
    </xf>
    <xf numFmtId="167" fontId="0" fillId="2" borderId="1" xfId="0" applyNumberFormat="1" applyFill="1" applyBorder="1" applyAlignment="1" applyProtection="1">
      <alignment horizontal="left" vertical="center"/>
      <protection locked="0"/>
    </xf>
    <xf numFmtId="167" fontId="0" fillId="2" borderId="2" xfId="0" applyNumberFormat="1" applyFill="1" applyBorder="1" applyAlignment="1" applyProtection="1">
      <alignment horizontal="left" vertical="center"/>
      <protection locked="0"/>
    </xf>
    <xf numFmtId="0" fontId="3" fillId="3" borderId="6" xfId="0" applyFont="1" applyFill="1" applyBorder="1" applyAlignment="1">
      <alignment horizontal="left"/>
    </xf>
    <xf numFmtId="0" fontId="3" fillId="3" borderId="1" xfId="0" applyFont="1" applyFill="1" applyBorder="1" applyAlignment="1">
      <alignment horizontal="left"/>
    </xf>
    <xf numFmtId="0" fontId="3" fillId="3" borderId="7" xfId="0" applyFont="1" applyFill="1" applyBorder="1" applyAlignment="1">
      <alignment horizontal="left"/>
    </xf>
    <xf numFmtId="0" fontId="7" fillId="2" borderId="24" xfId="0" applyFont="1" applyFill="1" applyBorder="1" applyAlignment="1" applyProtection="1">
      <alignment horizontal="center" vertical="center"/>
    </xf>
    <xf numFmtId="0" fontId="7" fillId="2" borderId="4" xfId="0" applyFont="1" applyFill="1" applyBorder="1" applyAlignment="1" applyProtection="1">
      <alignment horizontal="center" vertical="center"/>
    </xf>
    <xf numFmtId="0" fontId="7" fillId="2" borderId="25" xfId="0" applyFont="1" applyFill="1" applyBorder="1" applyAlignment="1" applyProtection="1">
      <alignment horizontal="center" vertical="center"/>
    </xf>
    <xf numFmtId="0" fontId="7" fillId="2" borderId="18" xfId="0" applyFont="1" applyFill="1" applyBorder="1" applyAlignment="1" applyProtection="1">
      <alignment horizontal="center" vertical="center"/>
    </xf>
    <xf numFmtId="0" fontId="7" fillId="2" borderId="19" xfId="0" applyFont="1" applyFill="1" applyBorder="1" applyAlignment="1" applyProtection="1">
      <alignment horizontal="center" vertical="center"/>
    </xf>
    <xf numFmtId="0" fontId="7" fillId="2" borderId="22" xfId="0" applyFont="1" applyFill="1" applyBorder="1" applyAlignment="1" applyProtection="1">
      <alignment horizontal="center" vertical="center"/>
    </xf>
    <xf numFmtId="49" fontId="0" fillId="2" borderId="7" xfId="0" applyNumberFormat="1" applyFill="1" applyBorder="1" applyAlignment="1" applyProtection="1">
      <alignment horizontal="left" vertical="center"/>
      <protection locked="0"/>
    </xf>
    <xf numFmtId="49" fontId="0" fillId="2" borderId="2" xfId="0" applyNumberFormat="1" applyFill="1" applyBorder="1" applyAlignment="1" applyProtection="1">
      <alignment horizontal="left" vertical="center"/>
      <protection locked="0"/>
    </xf>
    <xf numFmtId="0" fontId="3" fillId="3" borderId="2" xfId="0" applyFont="1" applyFill="1" applyBorder="1" applyAlignment="1">
      <alignment horizontal="left"/>
    </xf>
    <xf numFmtId="0" fontId="0" fillId="2" borderId="6" xfId="0" applyFill="1" applyBorder="1" applyAlignment="1" applyProtection="1">
      <alignment horizontal="left" vertical="center" indent="1"/>
      <protection locked="0"/>
    </xf>
    <xf numFmtId="0" fontId="0" fillId="2" borderId="1" xfId="0" applyFill="1" applyBorder="1" applyAlignment="1" applyProtection="1">
      <alignment horizontal="left" vertical="center" indent="1"/>
      <protection locked="0"/>
    </xf>
    <xf numFmtId="0" fontId="3" fillId="4" borderId="6" xfId="0" applyFont="1" applyFill="1" applyBorder="1" applyAlignment="1">
      <alignment horizontal="left"/>
    </xf>
    <xf numFmtId="0" fontId="3" fillId="4" borderId="2" xfId="0" applyFont="1" applyFill="1" applyBorder="1" applyAlignment="1">
      <alignment horizontal="left"/>
    </xf>
    <xf numFmtId="165" fontId="0" fillId="2" borderId="14" xfId="0" applyNumberFormat="1" applyFill="1" applyBorder="1" applyAlignment="1" applyProtection="1">
      <alignment horizontal="left" vertical="center" indent="1"/>
      <protection locked="0"/>
    </xf>
    <xf numFmtId="165" fontId="0" fillId="2" borderId="1" xfId="0" applyNumberFormat="1" applyFill="1" applyBorder="1" applyAlignment="1" applyProtection="1">
      <alignment horizontal="left" vertical="center" indent="1"/>
      <protection locked="0"/>
    </xf>
    <xf numFmtId="165" fontId="0" fillId="2" borderId="7" xfId="0" applyNumberFormat="1" applyFill="1" applyBorder="1" applyAlignment="1" applyProtection="1">
      <alignment horizontal="left" vertical="center" indent="1"/>
      <protection locked="0"/>
    </xf>
    <xf numFmtId="49" fontId="0" fillId="2" borderId="6" xfId="0" applyNumberFormat="1" applyFill="1" applyBorder="1" applyAlignment="1" applyProtection="1">
      <alignment horizontal="left" vertical="center" indent="1"/>
      <protection locked="0"/>
    </xf>
    <xf numFmtId="0" fontId="0" fillId="2" borderId="4" xfId="0" applyFill="1" applyBorder="1" applyAlignment="1" applyProtection="1">
      <alignment horizontal="center"/>
    </xf>
    <xf numFmtId="0" fontId="0" fillId="2" borderId="0" xfId="0" applyFill="1" applyBorder="1" applyAlignment="1" applyProtection="1">
      <alignment horizontal="center"/>
    </xf>
    <xf numFmtId="0" fontId="0" fillId="0" borderId="26" xfId="0" applyBorder="1" applyAlignment="1" applyProtection="1">
      <alignment horizontal="left" vertical="top" wrapText="1"/>
      <protection locked="0"/>
    </xf>
    <xf numFmtId="0" fontId="0" fillId="0" borderId="16" xfId="0" applyBorder="1" applyAlignment="1" applyProtection="1">
      <alignment horizontal="left" vertical="top" wrapText="1"/>
      <protection locked="0"/>
    </xf>
    <xf numFmtId="0" fontId="0" fillId="0" borderId="27"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0" borderId="0" xfId="0" applyBorder="1" applyAlignment="1" applyProtection="1">
      <alignment horizontal="left" vertical="top" wrapText="1"/>
      <protection locked="0"/>
    </xf>
    <xf numFmtId="0" fontId="0" fillId="0" borderId="8" xfId="0" applyBorder="1" applyAlignment="1" applyProtection="1">
      <alignment horizontal="left" vertical="top" wrapText="1"/>
      <protection locked="0"/>
    </xf>
    <xf numFmtId="0" fontId="0" fillId="0" borderId="28" xfId="0" applyBorder="1" applyAlignment="1" applyProtection="1">
      <alignment horizontal="left" vertical="top" wrapText="1"/>
      <protection locked="0"/>
    </xf>
    <xf numFmtId="0" fontId="0" fillId="0" borderId="19" xfId="0" applyBorder="1" applyAlignment="1" applyProtection="1">
      <alignment horizontal="left" vertical="top" wrapText="1"/>
      <protection locked="0"/>
    </xf>
    <xf numFmtId="0" fontId="0" fillId="0" borderId="22" xfId="0" applyBorder="1" applyAlignment="1" applyProtection="1">
      <alignment horizontal="left" vertical="top" wrapText="1"/>
      <protection locked="0"/>
    </xf>
    <xf numFmtId="0" fontId="3" fillId="3" borderId="14" xfId="0" applyFont="1" applyFill="1" applyBorder="1" applyAlignment="1">
      <alignment horizontal="left"/>
    </xf>
    <xf numFmtId="0" fontId="3" fillId="4" borderId="14"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2" xfId="0" applyFont="1" applyFill="1" applyBorder="1" applyAlignment="1">
      <alignment horizontal="center" vertical="center"/>
    </xf>
    <xf numFmtId="49" fontId="9" fillId="2" borderId="6" xfId="0" applyNumberFormat="1" applyFont="1" applyFill="1" applyBorder="1" applyAlignment="1" applyProtection="1">
      <alignment horizontal="left" vertical="center" indent="1"/>
    </xf>
    <xf numFmtId="49" fontId="9" fillId="2" borderId="1" xfId="0" applyNumberFormat="1" applyFont="1" applyFill="1" applyBorder="1" applyAlignment="1" applyProtection="1">
      <alignment horizontal="left" vertical="center" indent="1"/>
    </xf>
    <xf numFmtId="0" fontId="3" fillId="4" borderId="7" xfId="0" applyFont="1" applyFill="1" applyBorder="1" applyAlignment="1">
      <alignment horizontal="center" vertical="center"/>
    </xf>
    <xf numFmtId="0" fontId="3" fillId="4" borderId="6" xfId="0" applyFont="1" applyFill="1" applyBorder="1" applyAlignment="1">
      <alignment horizontal="center" vertical="center"/>
    </xf>
    <xf numFmtId="166" fontId="0" fillId="2" borderId="14" xfId="0" applyNumberFormat="1" applyFill="1" applyBorder="1" applyAlignment="1" applyProtection="1">
      <alignment horizontal="left" vertical="center"/>
      <protection locked="0"/>
    </xf>
    <xf numFmtId="166" fontId="0" fillId="2" borderId="1" xfId="0" applyNumberFormat="1" applyFill="1" applyBorder="1" applyAlignment="1" applyProtection="1">
      <alignment horizontal="left" vertical="center"/>
      <protection locked="0"/>
    </xf>
    <xf numFmtId="166" fontId="0" fillId="2" borderId="7" xfId="0" applyNumberFormat="1" applyFill="1" applyBorder="1" applyAlignment="1" applyProtection="1">
      <alignment horizontal="left" vertical="center"/>
      <protection locked="0"/>
    </xf>
  </cellXfs>
  <cellStyles count="1">
    <cellStyle name="Normal" xfId="0" builtinId="0"/>
  </cellStyles>
  <dxfs count="1">
    <dxf>
      <numFmt numFmtId="169" formatCode="&quot;R$&quot;\ 0.00"/>
    </dxf>
  </dxfs>
  <tableStyles count="0" defaultTableStyle="TableStyleMedium2" defaultPivotStyle="PivotStyleLight16"/>
  <colors>
    <mruColors>
      <color rgb="FFFFFFA7"/>
      <color rgb="FFFFFF89"/>
      <color rgb="FFFFFF61"/>
      <color rgb="FFFFFF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19050</xdr:colOff>
          <xdr:row>45</xdr:row>
          <xdr:rowOff>19050</xdr:rowOff>
        </xdr:from>
        <xdr:to>
          <xdr:col>23</xdr:col>
          <xdr:colOff>28575</xdr:colOff>
          <xdr:row>54</xdr:row>
          <xdr:rowOff>57150</xdr:rowOff>
        </xdr:to>
        <xdr:sp macro="" textlink="">
          <xdr:nvSpPr>
            <xdr:cNvPr id="1035" name="Label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17</xdr:col>
      <xdr:colOff>381000</xdr:colOff>
      <xdr:row>45</xdr:row>
      <xdr:rowOff>19050</xdr:rowOff>
    </xdr:from>
    <xdr:to>
      <xdr:col>23</xdr:col>
      <xdr:colOff>0</xdr:colOff>
      <xdr:row>46</xdr:row>
      <xdr:rowOff>47625</xdr:rowOff>
    </xdr:to>
    <xdr:sp macro="[0]!enviar" textlink="">
      <xdr:nvSpPr>
        <xdr:cNvPr id="3" name="btn">
          <a:extLst>
            <a:ext uri="{FF2B5EF4-FFF2-40B4-BE49-F238E27FC236}">
              <a16:creationId xmlns:a16="http://schemas.microsoft.com/office/drawing/2014/main" id="{00000000-0008-0000-0000-000003000000}"/>
            </a:ext>
          </a:extLst>
        </xdr:cNvPr>
        <xdr:cNvSpPr/>
      </xdr:nvSpPr>
      <xdr:spPr>
        <a:xfrm>
          <a:off x="9658350" y="10239375"/>
          <a:ext cx="1876425" cy="257175"/>
        </a:xfrm>
        <a:prstGeom prst="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a:t>Enviar</a:t>
          </a:r>
          <a:r>
            <a:rPr lang="pt-BR" sz="1600" baseline="0"/>
            <a:t> Formulário</a:t>
          </a:r>
          <a:endParaRPr lang="pt-BR" sz="1600"/>
        </a:p>
      </xdr:txBody>
    </xdr:sp>
    <xdr:clientData/>
  </xdr:twoCellAnchor>
  <xdr:twoCellAnchor editAs="oneCell">
    <xdr:from>
      <xdr:col>2</xdr:col>
      <xdr:colOff>142875</xdr:colOff>
      <xdr:row>1</xdr:row>
      <xdr:rowOff>47625</xdr:rowOff>
    </xdr:from>
    <xdr:to>
      <xdr:col>3</xdr:col>
      <xdr:colOff>176530</xdr:colOff>
      <xdr:row>2</xdr:row>
      <xdr:rowOff>466725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duotone>
            <a:prstClr val="black"/>
            <a:schemeClr val="accent2">
              <a:tint val="45000"/>
              <a:satMod val="400000"/>
            </a:schemeClr>
          </a:duotone>
          <a:extLst>
            <a:ext uri="{BEBA8EAE-BF5A-486C-A8C5-ECC9F3942E4B}">
              <a14:imgProps xmlns:a14="http://schemas.microsoft.com/office/drawing/2010/main">
                <a14:imgLayer r:embed="rId2">
                  <a14:imgEffect>
                    <a14:artisticGlass/>
                  </a14:imgEffect>
                </a14:imgLayer>
              </a14:imgProps>
            </a:ext>
            <a:ext uri="{28A0092B-C50C-407E-A947-70E740481C1C}">
              <a14:useLocalDpi xmlns:a14="http://schemas.microsoft.com/office/drawing/2010/main" val="0"/>
            </a:ext>
          </a:extLst>
        </a:blip>
        <a:stretch>
          <a:fillRect/>
        </a:stretch>
      </xdr:blipFill>
      <xdr:spPr>
        <a:xfrm>
          <a:off x="409575" y="209550"/>
          <a:ext cx="567055" cy="54292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C55"/>
  <sheetViews>
    <sheetView showGridLines="0" showRowColHeaders="0" tabSelected="1" zoomScaleNormal="100" workbookViewId="0">
      <selection activeCell="B43" sqref="B43:F43"/>
    </sheetView>
  </sheetViews>
  <sheetFormatPr defaultColWidth="0" defaultRowHeight="15" zeroHeight="1" x14ac:dyDescent="0.25"/>
  <cols>
    <col min="1" max="1" width="2.42578125" style="2" customWidth="1"/>
    <col min="2" max="2" width="1.5703125" style="2" customWidth="1"/>
    <col min="3" max="3" width="8" style="2" customWidth="1"/>
    <col min="4" max="4" width="7.140625" style="2" customWidth="1"/>
    <col min="5" max="5" width="6.28515625" style="2" customWidth="1"/>
    <col min="6" max="6" width="2.7109375" style="2" customWidth="1"/>
    <col min="7" max="7" width="16" style="2" customWidth="1"/>
    <col min="8" max="8" width="15" style="2" customWidth="1"/>
    <col min="9" max="9" width="10" style="2" customWidth="1"/>
    <col min="10" max="10" width="17.28515625" style="2" customWidth="1"/>
    <col min="11" max="11" width="1.85546875" style="2" hidden="1" customWidth="1"/>
    <col min="12" max="12" width="9.140625" style="2" hidden="1" customWidth="1"/>
    <col min="13" max="13" width="30.7109375" style="2" customWidth="1"/>
    <col min="14" max="14" width="1.28515625" style="2" hidden="1" customWidth="1"/>
    <col min="15" max="15" width="7.28515625" style="2" customWidth="1"/>
    <col min="16" max="16" width="8.140625" style="2" customWidth="1"/>
    <col min="17" max="17" width="3.28515625" style="2" customWidth="1"/>
    <col min="18" max="18" width="8" style="2" customWidth="1"/>
    <col min="19" max="19" width="0.85546875" style="2" customWidth="1"/>
    <col min="20" max="20" width="5.85546875" style="2" customWidth="1"/>
    <col min="21" max="21" width="1.140625" style="2" customWidth="1"/>
    <col min="22" max="22" width="16.140625" style="2" customWidth="1"/>
    <col min="23" max="23" width="1.85546875" style="2" customWidth="1"/>
    <col min="24" max="24" width="2.7109375" style="2" customWidth="1"/>
    <col min="25" max="25" width="24" style="2" hidden="1" customWidth="1"/>
    <col min="26" max="26" width="5.7109375" style="2" hidden="1" customWidth="1"/>
    <col min="27" max="27" width="3.85546875" style="2" hidden="1" customWidth="1"/>
    <col min="28" max="28" width="2.7109375" style="2" hidden="1" customWidth="1"/>
    <col min="29" max="29" width="21.85546875" style="2" hidden="1" customWidth="1"/>
    <col min="30" max="16384" width="9.140625" style="2" hidden="1"/>
  </cols>
  <sheetData>
    <row r="1" spans="1:29" customFormat="1" ht="12.75" customHeight="1" thickBot="1" x14ac:dyDescent="0.3">
      <c r="A1" s="2"/>
      <c r="B1" s="2"/>
      <c r="C1" s="2"/>
      <c r="D1" s="2"/>
      <c r="E1" s="2"/>
      <c r="F1" s="2"/>
      <c r="G1" s="2"/>
      <c r="H1" s="2"/>
      <c r="I1" s="2"/>
      <c r="J1" s="2"/>
      <c r="K1" s="2"/>
      <c r="L1" s="2"/>
      <c r="M1" s="2"/>
      <c r="N1" s="2"/>
      <c r="O1" s="2"/>
      <c r="P1" s="2"/>
      <c r="Q1" s="2"/>
      <c r="R1" s="2"/>
      <c r="S1" s="2"/>
      <c r="T1" s="2"/>
      <c r="U1" s="2"/>
      <c r="V1" s="2"/>
      <c r="W1" s="2"/>
      <c r="X1" s="2"/>
      <c r="Y1" s="22"/>
      <c r="Z1" s="22"/>
      <c r="AA1" s="22"/>
      <c r="AB1" s="2"/>
      <c r="AC1" s="22"/>
    </row>
    <row r="2" spans="1:29" customFormat="1" ht="9.75" customHeight="1" x14ac:dyDescent="0.25">
      <c r="A2" s="2"/>
      <c r="B2" s="13"/>
      <c r="C2" s="14"/>
      <c r="D2" s="14"/>
      <c r="E2" s="113" t="s">
        <v>0</v>
      </c>
      <c r="F2" s="114"/>
      <c r="G2" s="114"/>
      <c r="H2" s="114"/>
      <c r="I2" s="114"/>
      <c r="J2" s="114"/>
      <c r="K2" s="114"/>
      <c r="L2" s="114"/>
      <c r="M2" s="114"/>
      <c r="N2" s="114"/>
      <c r="O2" s="114"/>
      <c r="P2" s="114"/>
      <c r="Q2" s="114"/>
      <c r="R2" s="114"/>
      <c r="S2" s="114"/>
      <c r="T2" s="114"/>
      <c r="U2" s="114"/>
      <c r="V2" s="114"/>
      <c r="W2" s="115"/>
      <c r="X2" s="2"/>
      <c r="Z2" s="21"/>
      <c r="AA2" s="21"/>
      <c r="AB2" s="2"/>
      <c r="AC2" s="25"/>
    </row>
    <row r="3" spans="1:29" customFormat="1" ht="40.5" customHeight="1" x14ac:dyDescent="0.25">
      <c r="A3" s="2"/>
      <c r="B3" s="15"/>
      <c r="C3" s="12"/>
      <c r="D3" s="12"/>
      <c r="E3" s="116"/>
      <c r="F3" s="117"/>
      <c r="G3" s="117"/>
      <c r="H3" s="117"/>
      <c r="I3" s="117"/>
      <c r="J3" s="117"/>
      <c r="K3" s="117"/>
      <c r="L3" s="117"/>
      <c r="M3" s="117"/>
      <c r="N3" s="117"/>
      <c r="O3" s="117"/>
      <c r="P3" s="117"/>
      <c r="Q3" s="117"/>
      <c r="R3" s="117"/>
      <c r="S3" s="117"/>
      <c r="T3" s="117"/>
      <c r="U3" s="117"/>
      <c r="V3" s="117"/>
      <c r="W3" s="118"/>
      <c r="X3" s="2"/>
      <c r="Z3" s="21"/>
      <c r="AA3" s="21"/>
      <c r="AB3" s="2"/>
      <c r="AC3" s="26"/>
    </row>
    <row r="4" spans="1:29" customFormat="1" ht="6" customHeight="1" x14ac:dyDescent="0.35">
      <c r="A4" s="2"/>
      <c r="B4" s="16"/>
      <c r="C4" s="4"/>
      <c r="D4" s="11"/>
      <c r="E4" s="11"/>
      <c r="F4" s="11"/>
      <c r="G4" s="11"/>
      <c r="H4" s="11"/>
      <c r="I4" s="11"/>
      <c r="J4" s="11"/>
      <c r="K4" s="11"/>
      <c r="L4" s="11"/>
      <c r="M4" s="11"/>
      <c r="N4" s="11"/>
      <c r="O4" s="11"/>
      <c r="P4" s="11"/>
      <c r="Q4" s="11"/>
      <c r="R4" s="11"/>
      <c r="S4" s="11"/>
      <c r="T4" s="11"/>
      <c r="U4" s="11"/>
      <c r="V4" s="11"/>
      <c r="W4" s="17"/>
      <c r="X4" s="2"/>
      <c r="Z4" s="21"/>
      <c r="AA4" s="21"/>
      <c r="AB4" s="2"/>
      <c r="AC4" s="26"/>
    </row>
    <row r="5" spans="1:29" customFormat="1" ht="20.25" customHeight="1" x14ac:dyDescent="0.25">
      <c r="A5" s="2"/>
      <c r="B5" s="124" t="s">
        <v>84</v>
      </c>
      <c r="C5" s="99"/>
      <c r="D5" s="99"/>
      <c r="E5" s="99"/>
      <c r="F5" s="99"/>
      <c r="G5" s="99"/>
      <c r="H5" s="99"/>
      <c r="I5" s="99"/>
      <c r="J5" s="99"/>
      <c r="K5" s="99"/>
      <c r="L5" s="99"/>
      <c r="M5" s="99"/>
      <c r="N5" s="99"/>
      <c r="O5" s="99"/>
      <c r="P5" s="99"/>
      <c r="Q5" s="99"/>
      <c r="R5" s="99"/>
      <c r="S5" s="99"/>
      <c r="T5" s="99"/>
      <c r="U5" s="99"/>
      <c r="V5" s="99"/>
      <c r="W5" s="100"/>
      <c r="X5" s="2"/>
      <c r="Z5" s="21"/>
      <c r="AA5" s="21"/>
      <c r="AB5" s="2"/>
      <c r="AC5" s="26"/>
    </row>
    <row r="6" spans="1:29" s="1" customFormat="1" ht="20.25" hidden="1" customHeight="1" x14ac:dyDescent="0.25">
      <c r="A6" s="6"/>
      <c r="B6" s="110" t="s">
        <v>1</v>
      </c>
      <c r="C6" s="111"/>
      <c r="D6" s="111"/>
      <c r="E6" s="111"/>
      <c r="F6" s="111"/>
      <c r="G6" s="111"/>
      <c r="H6" s="111"/>
      <c r="I6" s="111"/>
      <c r="J6" s="111"/>
      <c r="K6" s="111"/>
      <c r="L6" s="111"/>
      <c r="M6" s="111"/>
      <c r="N6" s="111"/>
      <c r="O6" s="111"/>
      <c r="P6" s="111"/>
      <c r="Q6" s="111"/>
      <c r="R6" s="111"/>
      <c r="S6" s="111"/>
      <c r="T6" s="111"/>
      <c r="U6" s="111"/>
      <c r="V6" s="111"/>
      <c r="W6" s="112"/>
      <c r="X6" s="2"/>
      <c r="Y6"/>
      <c r="Z6" s="21"/>
      <c r="AA6" s="21"/>
      <c r="AB6" s="6"/>
      <c r="AC6" s="26"/>
    </row>
    <row r="7" spans="1:29" s="9" customFormat="1" ht="19.5" customHeight="1" x14ac:dyDescent="0.25">
      <c r="A7" s="8"/>
      <c r="B7" s="122" t="s">
        <v>71</v>
      </c>
      <c r="C7" s="123"/>
      <c r="D7" s="123"/>
      <c r="E7" s="123"/>
      <c r="F7" s="45"/>
      <c r="G7" s="45"/>
      <c r="H7" s="45"/>
      <c r="I7" s="45"/>
      <c r="J7" s="45"/>
      <c r="K7" s="45"/>
      <c r="L7" s="45"/>
      <c r="M7" s="45"/>
      <c r="N7" s="45"/>
      <c r="O7" s="45"/>
      <c r="P7" s="45"/>
      <c r="Q7" s="45"/>
      <c r="R7" s="45"/>
      <c r="S7" s="45"/>
      <c r="T7" s="45"/>
      <c r="U7" s="45"/>
      <c r="V7" s="45"/>
      <c r="W7" s="46"/>
      <c r="X7" s="2"/>
      <c r="Y7"/>
      <c r="Z7" s="21"/>
      <c r="AA7" s="21"/>
      <c r="AB7" s="8"/>
      <c r="AC7" s="30"/>
    </row>
    <row r="8" spans="1:29" s="1" customFormat="1" ht="20.25" customHeight="1" x14ac:dyDescent="0.25">
      <c r="A8" s="6"/>
      <c r="B8" s="124" t="s">
        <v>83</v>
      </c>
      <c r="C8" s="99"/>
      <c r="D8" s="99"/>
      <c r="E8" s="99"/>
      <c r="F8" s="99"/>
      <c r="G8" s="99"/>
      <c r="H8" s="99"/>
      <c r="I8" s="99"/>
      <c r="J8" s="99"/>
      <c r="K8" s="99"/>
      <c r="L8" s="99"/>
      <c r="M8" s="99"/>
      <c r="N8" s="125"/>
      <c r="O8" s="98" t="s">
        <v>86</v>
      </c>
      <c r="P8" s="99"/>
      <c r="Q8" s="99"/>
      <c r="R8" s="99"/>
      <c r="S8" s="99"/>
      <c r="T8" s="99"/>
      <c r="U8" s="99"/>
      <c r="V8" s="99"/>
      <c r="W8" s="100"/>
      <c r="X8" s="2"/>
      <c r="Y8"/>
      <c r="Z8" s="21"/>
      <c r="AA8" s="21"/>
      <c r="AB8" s="6"/>
      <c r="AC8" s="30"/>
    </row>
    <row r="9" spans="1:29" s="9" customFormat="1" ht="18.75" customHeight="1" x14ac:dyDescent="0.25">
      <c r="A9" s="8"/>
      <c r="B9" s="129" t="s">
        <v>95</v>
      </c>
      <c r="C9" s="102"/>
      <c r="D9" s="102"/>
      <c r="E9" s="102"/>
      <c r="F9" s="102"/>
      <c r="G9" s="102"/>
      <c r="H9" s="102"/>
      <c r="I9" s="102"/>
      <c r="J9" s="102"/>
      <c r="K9" s="102"/>
      <c r="L9" s="102"/>
      <c r="M9" s="102"/>
      <c r="N9" s="102"/>
      <c r="O9" s="126">
        <v>39547896325</v>
      </c>
      <c r="P9" s="127"/>
      <c r="Q9" s="127"/>
      <c r="R9" s="127"/>
      <c r="S9" s="127"/>
      <c r="T9" s="127"/>
      <c r="U9" s="127"/>
      <c r="V9" s="127"/>
      <c r="W9" s="128"/>
      <c r="X9" s="2"/>
      <c r="Y9"/>
      <c r="Z9" s="21"/>
      <c r="AA9" s="21"/>
      <c r="AB9" s="8"/>
      <c r="AC9" s="30"/>
    </row>
    <row r="10" spans="1:29" s="1" customFormat="1" ht="20.25" hidden="1" customHeight="1" x14ac:dyDescent="0.25">
      <c r="A10" s="6"/>
      <c r="B10" s="110" t="s">
        <v>2</v>
      </c>
      <c r="C10" s="111"/>
      <c r="D10" s="111"/>
      <c r="E10" s="111"/>
      <c r="F10" s="111"/>
      <c r="G10" s="111"/>
      <c r="H10" s="111"/>
      <c r="I10" s="111"/>
      <c r="J10" s="111"/>
      <c r="K10" s="111"/>
      <c r="L10" s="111"/>
      <c r="M10" s="121"/>
      <c r="N10" s="5"/>
      <c r="O10" s="111" t="s">
        <v>3</v>
      </c>
      <c r="P10" s="111"/>
      <c r="Q10" s="111"/>
      <c r="R10" s="111"/>
      <c r="S10" s="111"/>
      <c r="T10" s="111"/>
      <c r="U10" s="111"/>
      <c r="V10" s="111"/>
      <c r="W10" s="112"/>
      <c r="X10" s="2"/>
      <c r="Y10"/>
      <c r="Z10" s="21"/>
      <c r="AA10" s="21"/>
      <c r="AB10" s="6"/>
      <c r="AC10" s="30"/>
    </row>
    <row r="11" spans="1:29" s="9" customFormat="1" ht="18.75" hidden="1" customHeight="1" x14ac:dyDescent="0.25">
      <c r="A11" s="8"/>
      <c r="B11" s="96" t="s">
        <v>70</v>
      </c>
      <c r="C11" s="97"/>
      <c r="D11" s="97"/>
      <c r="E11" s="97"/>
      <c r="F11" s="97"/>
      <c r="G11" s="97"/>
      <c r="H11" s="97"/>
      <c r="I11" s="97"/>
      <c r="J11" s="97"/>
      <c r="K11" s="97"/>
      <c r="L11" s="97"/>
      <c r="M11" s="120"/>
      <c r="N11" s="29"/>
      <c r="O11" s="97" t="s">
        <v>70</v>
      </c>
      <c r="P11" s="97"/>
      <c r="Q11" s="97"/>
      <c r="R11" s="97"/>
      <c r="S11" s="97"/>
      <c r="T11" s="97"/>
      <c r="U11" s="97"/>
      <c r="V11" s="97"/>
      <c r="W11" s="119"/>
      <c r="X11" s="2"/>
      <c r="Y11"/>
      <c r="Z11" s="21"/>
      <c r="AA11" s="21"/>
      <c r="AB11" s="8"/>
      <c r="AC11" s="30"/>
    </row>
    <row r="12" spans="1:29" s="1" customFormat="1" ht="20.25" hidden="1" customHeight="1" x14ac:dyDescent="0.25">
      <c r="A12" s="6"/>
      <c r="B12" s="110" t="s">
        <v>7</v>
      </c>
      <c r="C12" s="111"/>
      <c r="D12" s="111"/>
      <c r="E12" s="111"/>
      <c r="F12" s="111"/>
      <c r="G12" s="111"/>
      <c r="H12" s="111"/>
      <c r="I12" s="111"/>
      <c r="J12" s="111"/>
      <c r="K12" s="111"/>
      <c r="L12" s="111"/>
      <c r="M12" s="111"/>
      <c r="N12" s="7"/>
      <c r="O12" s="141" t="s">
        <v>5</v>
      </c>
      <c r="P12" s="111"/>
      <c r="Q12" s="111"/>
      <c r="R12" s="121"/>
      <c r="S12" s="141" t="s">
        <v>6</v>
      </c>
      <c r="T12" s="111"/>
      <c r="U12" s="111"/>
      <c r="V12" s="111"/>
      <c r="W12" s="112"/>
      <c r="X12" s="2"/>
      <c r="Y12"/>
      <c r="Z12" s="21"/>
      <c r="AA12" s="21"/>
      <c r="AB12" s="6"/>
      <c r="AC12" s="30"/>
    </row>
    <row r="13" spans="1:29" s="9" customFormat="1" ht="18.75" hidden="1" customHeight="1" x14ac:dyDescent="0.25">
      <c r="A13" s="8"/>
      <c r="B13" s="96" t="s">
        <v>70</v>
      </c>
      <c r="C13" s="97"/>
      <c r="D13" s="97"/>
      <c r="E13" s="97"/>
      <c r="F13" s="97"/>
      <c r="G13" s="97"/>
      <c r="H13" s="97"/>
      <c r="I13" s="97"/>
      <c r="J13" s="97"/>
      <c r="K13" s="97"/>
      <c r="L13" s="97"/>
      <c r="M13" s="97"/>
      <c r="N13" s="28"/>
      <c r="O13" s="107" t="s">
        <v>70</v>
      </c>
      <c r="P13" s="108"/>
      <c r="Q13" s="108"/>
      <c r="R13" s="109"/>
      <c r="S13" s="149"/>
      <c r="T13" s="150"/>
      <c r="U13" s="150"/>
      <c r="V13" s="150"/>
      <c r="W13" s="151"/>
      <c r="X13" s="2"/>
      <c r="Y13"/>
      <c r="Z13" s="21"/>
      <c r="AA13" s="21"/>
      <c r="AB13" s="8"/>
      <c r="AC13" s="30"/>
    </row>
    <row r="14" spans="1:29" s="1" customFormat="1" ht="20.25" customHeight="1" x14ac:dyDescent="0.25">
      <c r="A14" s="6"/>
      <c r="B14" s="52" t="s">
        <v>82</v>
      </c>
      <c r="C14" s="53"/>
      <c r="D14" s="53"/>
      <c r="E14" s="53"/>
      <c r="F14" s="53"/>
      <c r="G14" s="53"/>
      <c r="H14" s="53"/>
      <c r="I14" s="53"/>
      <c r="J14" s="98" t="s">
        <v>85</v>
      </c>
      <c r="K14" s="99"/>
      <c r="L14" s="99"/>
      <c r="M14" s="99"/>
      <c r="N14" s="99"/>
      <c r="O14" s="99"/>
      <c r="P14" s="99"/>
      <c r="Q14" s="99"/>
      <c r="R14" s="99"/>
      <c r="S14" s="99"/>
      <c r="T14" s="99"/>
      <c r="U14" s="99"/>
      <c r="V14" s="99"/>
      <c r="W14" s="100"/>
      <c r="X14" s="2"/>
      <c r="Y14"/>
      <c r="Z14" s="21"/>
      <c r="AA14" s="21"/>
      <c r="AB14" s="6"/>
      <c r="AC14" s="31"/>
    </row>
    <row r="15" spans="1:29" s="9" customFormat="1" ht="18.75" customHeight="1" x14ac:dyDescent="0.25">
      <c r="A15" s="8"/>
      <c r="B15" s="145" t="s">
        <v>56</v>
      </c>
      <c r="C15" s="146"/>
      <c r="D15" s="146"/>
      <c r="E15" s="146"/>
      <c r="F15" s="146"/>
      <c r="G15" s="146"/>
      <c r="H15" s="68" t="s">
        <v>63</v>
      </c>
      <c r="I15" s="69"/>
      <c r="J15" s="101" t="s">
        <v>94</v>
      </c>
      <c r="K15" s="102"/>
      <c r="L15" s="102"/>
      <c r="M15" s="102"/>
      <c r="N15" s="102"/>
      <c r="O15" s="102"/>
      <c r="P15" s="102"/>
      <c r="Q15" s="102"/>
      <c r="R15" s="102"/>
      <c r="S15" s="102"/>
      <c r="T15" s="102"/>
      <c r="U15" s="102"/>
      <c r="V15" s="102"/>
      <c r="W15" s="103"/>
      <c r="X15" s="2"/>
      <c r="Y15"/>
      <c r="Z15" s="21"/>
      <c r="AA15" s="21"/>
      <c r="AB15" s="8"/>
      <c r="AC15" s="32"/>
    </row>
    <row r="16" spans="1:29" customFormat="1" ht="4.5" customHeight="1" x14ac:dyDescent="0.25">
      <c r="A16" s="2"/>
      <c r="B16" s="16"/>
      <c r="C16" s="4"/>
      <c r="D16" s="4"/>
      <c r="E16" s="4"/>
      <c r="F16" s="4"/>
      <c r="G16" s="4"/>
      <c r="H16" s="4"/>
      <c r="I16" s="4"/>
      <c r="J16" s="4"/>
      <c r="K16" s="4"/>
      <c r="L16" s="4"/>
      <c r="M16" s="4"/>
      <c r="N16" s="4"/>
      <c r="O16" s="4"/>
      <c r="P16" s="4"/>
      <c r="Q16" s="4"/>
      <c r="R16" s="4"/>
      <c r="S16" s="4"/>
      <c r="T16" s="4"/>
      <c r="U16" s="4"/>
      <c r="V16" s="4"/>
      <c r="W16" s="18"/>
      <c r="X16" s="2"/>
      <c r="Z16" s="21"/>
      <c r="AA16" s="21"/>
      <c r="AB16" s="2"/>
      <c r="AC16" s="32"/>
    </row>
    <row r="17" spans="1:29" s="1" customFormat="1" ht="23.25" customHeight="1" x14ac:dyDescent="0.25">
      <c r="A17" s="6"/>
      <c r="B17" s="148" t="s">
        <v>8</v>
      </c>
      <c r="C17" s="143"/>
      <c r="D17" s="143"/>
      <c r="E17" s="143"/>
      <c r="F17" s="144"/>
      <c r="G17" s="142" t="s">
        <v>13</v>
      </c>
      <c r="H17" s="143"/>
      <c r="I17" s="143"/>
      <c r="J17" s="143"/>
      <c r="K17" s="143"/>
      <c r="L17" s="144"/>
      <c r="M17" s="142" t="s">
        <v>72</v>
      </c>
      <c r="N17" s="144"/>
      <c r="O17" s="54" t="s">
        <v>9</v>
      </c>
      <c r="P17" s="142" t="s">
        <v>10</v>
      </c>
      <c r="Q17" s="144"/>
      <c r="R17" s="142" t="s">
        <v>14</v>
      </c>
      <c r="S17" s="143"/>
      <c r="T17" s="144"/>
      <c r="U17" s="142" t="s">
        <v>15</v>
      </c>
      <c r="V17" s="143"/>
      <c r="W17" s="147"/>
      <c r="X17" s="2"/>
      <c r="Y17"/>
      <c r="Z17" s="21"/>
      <c r="AA17" s="21"/>
      <c r="AB17" s="35"/>
      <c r="AC17" s="32"/>
    </row>
    <row r="18" spans="1:29" s="9" customFormat="1" ht="32.25" customHeight="1" x14ac:dyDescent="0.25">
      <c r="A18" s="8"/>
      <c r="B18" s="73">
        <v>85555555</v>
      </c>
      <c r="C18" s="74"/>
      <c r="D18" s="75"/>
      <c r="E18" s="75"/>
      <c r="F18" s="75"/>
      <c r="G18" s="76" t="s">
        <v>92</v>
      </c>
      <c r="H18" s="77"/>
      <c r="I18" s="77"/>
      <c r="J18" s="77"/>
      <c r="K18" s="77"/>
      <c r="L18" s="78"/>
      <c r="M18" s="81" t="s">
        <v>64</v>
      </c>
      <c r="N18" s="81"/>
      <c r="O18" s="23" t="s">
        <v>12</v>
      </c>
      <c r="P18" s="80">
        <v>10</v>
      </c>
      <c r="Q18" s="80"/>
      <c r="R18" s="104">
        <v>5</v>
      </c>
      <c r="S18" s="105"/>
      <c r="T18" s="106"/>
      <c r="U18" s="70">
        <f>IF(OR(P18="",R18=""),0,PRODUCT(P18,R18))</f>
        <v>50</v>
      </c>
      <c r="V18" s="71"/>
      <c r="W18" s="72"/>
      <c r="X18" s="2"/>
      <c r="Y18"/>
      <c r="Z18" s="21"/>
      <c r="AA18" s="21"/>
      <c r="AB18" s="8"/>
      <c r="AC18" s="32"/>
    </row>
    <row r="19" spans="1:29" s="9" customFormat="1" ht="32.25" customHeight="1" x14ac:dyDescent="0.25">
      <c r="A19" s="8"/>
      <c r="B19" s="73">
        <v>58666</v>
      </c>
      <c r="C19" s="74"/>
      <c r="D19" s="75"/>
      <c r="E19" s="75"/>
      <c r="F19" s="75"/>
      <c r="G19" s="76" t="s">
        <v>93</v>
      </c>
      <c r="H19" s="77"/>
      <c r="I19" s="77"/>
      <c r="J19" s="77"/>
      <c r="K19" s="77"/>
      <c r="L19" s="78"/>
      <c r="M19" s="81" t="s">
        <v>58</v>
      </c>
      <c r="N19" s="81"/>
      <c r="O19" s="23" t="s">
        <v>12</v>
      </c>
      <c r="P19" s="80">
        <v>5</v>
      </c>
      <c r="Q19" s="80"/>
      <c r="R19" s="79">
        <v>35</v>
      </c>
      <c r="S19" s="79"/>
      <c r="T19" s="79"/>
      <c r="U19" s="70">
        <f t="shared" ref="U19:U27" si="0">IF(OR(P19="",R19=""),0,PRODUCT(P19,R19))</f>
        <v>175</v>
      </c>
      <c r="V19" s="71"/>
      <c r="W19" s="72"/>
      <c r="X19" s="2"/>
      <c r="Y19"/>
      <c r="Z19" s="21"/>
      <c r="AA19" s="21"/>
      <c r="AB19" s="8"/>
      <c r="AC19" s="32"/>
    </row>
    <row r="20" spans="1:29" s="9" customFormat="1" ht="32.25" customHeight="1" x14ac:dyDescent="0.25">
      <c r="A20" s="8"/>
      <c r="B20" s="73"/>
      <c r="C20" s="74"/>
      <c r="D20" s="75"/>
      <c r="E20" s="75"/>
      <c r="F20" s="75"/>
      <c r="G20" s="76"/>
      <c r="H20" s="77"/>
      <c r="I20" s="77"/>
      <c r="J20" s="77"/>
      <c r="K20" s="77"/>
      <c r="L20" s="78"/>
      <c r="M20" s="81"/>
      <c r="N20" s="81"/>
      <c r="O20" s="23" t="s">
        <v>12</v>
      </c>
      <c r="P20" s="80"/>
      <c r="Q20" s="80"/>
      <c r="R20" s="79"/>
      <c r="S20" s="79"/>
      <c r="T20" s="79"/>
      <c r="U20" s="70">
        <f t="shared" si="0"/>
        <v>0</v>
      </c>
      <c r="V20" s="71"/>
      <c r="W20" s="72"/>
      <c r="X20" s="2"/>
      <c r="Y20"/>
      <c r="Z20" s="21"/>
      <c r="AA20" s="21"/>
      <c r="AB20" s="8"/>
      <c r="AC20" s="32"/>
    </row>
    <row r="21" spans="1:29" s="9" customFormat="1" ht="32.25" customHeight="1" x14ac:dyDescent="0.25">
      <c r="A21" s="8"/>
      <c r="B21" s="73"/>
      <c r="C21" s="74"/>
      <c r="D21" s="75"/>
      <c r="E21" s="75"/>
      <c r="F21" s="75"/>
      <c r="G21" s="76"/>
      <c r="H21" s="77"/>
      <c r="I21" s="77"/>
      <c r="J21" s="77"/>
      <c r="K21" s="77"/>
      <c r="L21" s="78"/>
      <c r="M21" s="81"/>
      <c r="N21" s="81"/>
      <c r="O21" s="23" t="s">
        <v>12</v>
      </c>
      <c r="P21" s="80"/>
      <c r="Q21" s="80"/>
      <c r="R21" s="79"/>
      <c r="S21" s="79"/>
      <c r="T21" s="79"/>
      <c r="U21" s="70">
        <f t="shared" si="0"/>
        <v>0</v>
      </c>
      <c r="V21" s="71"/>
      <c r="W21" s="72"/>
      <c r="X21" s="2"/>
      <c r="Y21"/>
      <c r="Z21" s="21"/>
      <c r="AA21" s="21"/>
      <c r="AB21" s="8"/>
      <c r="AC21" s="32"/>
    </row>
    <row r="22" spans="1:29" s="9" customFormat="1" ht="32.25" customHeight="1" x14ac:dyDescent="0.25">
      <c r="A22" s="8"/>
      <c r="B22" s="73"/>
      <c r="C22" s="74"/>
      <c r="D22" s="75"/>
      <c r="E22" s="75"/>
      <c r="F22" s="75"/>
      <c r="G22" s="76"/>
      <c r="H22" s="77"/>
      <c r="I22" s="77"/>
      <c r="J22" s="77"/>
      <c r="K22" s="77"/>
      <c r="L22" s="78"/>
      <c r="M22" s="81"/>
      <c r="N22" s="81"/>
      <c r="O22" s="23" t="s">
        <v>12</v>
      </c>
      <c r="P22" s="80"/>
      <c r="Q22" s="80"/>
      <c r="R22" s="79"/>
      <c r="S22" s="79"/>
      <c r="T22" s="79"/>
      <c r="U22" s="70">
        <f t="shared" si="0"/>
        <v>0</v>
      </c>
      <c r="V22" s="71"/>
      <c r="W22" s="72"/>
      <c r="X22" s="2"/>
      <c r="Y22"/>
      <c r="Z22" s="21"/>
      <c r="AA22" s="21"/>
      <c r="AB22" s="8"/>
      <c r="AC22" s="32"/>
    </row>
    <row r="23" spans="1:29" s="9" customFormat="1" ht="32.25" customHeight="1" x14ac:dyDescent="0.25">
      <c r="A23" s="8"/>
      <c r="B23" s="82"/>
      <c r="C23" s="83"/>
      <c r="D23" s="83"/>
      <c r="E23" s="83"/>
      <c r="F23" s="74"/>
      <c r="G23" s="76"/>
      <c r="H23" s="77"/>
      <c r="I23" s="77"/>
      <c r="J23" s="77"/>
      <c r="K23" s="77"/>
      <c r="L23" s="78"/>
      <c r="M23" s="81"/>
      <c r="N23" s="81"/>
      <c r="O23" s="23" t="s">
        <v>12</v>
      </c>
      <c r="P23" s="80"/>
      <c r="Q23" s="80"/>
      <c r="R23" s="79"/>
      <c r="S23" s="79"/>
      <c r="T23" s="79"/>
      <c r="U23" s="70">
        <f t="shared" si="0"/>
        <v>0</v>
      </c>
      <c r="V23" s="71"/>
      <c r="W23" s="72"/>
      <c r="X23" s="2"/>
      <c r="Y23"/>
      <c r="Z23" s="21"/>
      <c r="AA23" s="21"/>
      <c r="AB23" s="8"/>
      <c r="AC23" s="32"/>
    </row>
    <row r="24" spans="1:29" s="9" customFormat="1" ht="32.25" customHeight="1" x14ac:dyDescent="0.25">
      <c r="A24" s="8"/>
      <c r="B24" s="82"/>
      <c r="C24" s="83"/>
      <c r="D24" s="83"/>
      <c r="E24" s="83"/>
      <c r="F24" s="74"/>
      <c r="G24" s="76"/>
      <c r="H24" s="77"/>
      <c r="I24" s="77"/>
      <c r="J24" s="77"/>
      <c r="K24" s="77"/>
      <c r="L24" s="78"/>
      <c r="M24" s="81"/>
      <c r="N24" s="81"/>
      <c r="O24" s="23" t="s">
        <v>12</v>
      </c>
      <c r="P24" s="80"/>
      <c r="Q24" s="80"/>
      <c r="R24" s="79"/>
      <c r="S24" s="79"/>
      <c r="T24" s="79"/>
      <c r="U24" s="70">
        <f t="shared" si="0"/>
        <v>0</v>
      </c>
      <c r="V24" s="71"/>
      <c r="W24" s="72"/>
      <c r="X24" s="2"/>
      <c r="Y24"/>
      <c r="Z24" s="21"/>
      <c r="AA24" s="21"/>
      <c r="AB24" s="8"/>
      <c r="AC24" s="32"/>
    </row>
    <row r="25" spans="1:29" s="9" customFormat="1" ht="32.25" customHeight="1" x14ac:dyDescent="0.25">
      <c r="A25" s="8"/>
      <c r="B25" s="73"/>
      <c r="C25" s="74"/>
      <c r="D25" s="75"/>
      <c r="E25" s="75"/>
      <c r="F25" s="75"/>
      <c r="G25" s="76"/>
      <c r="H25" s="77"/>
      <c r="I25" s="77"/>
      <c r="J25" s="77"/>
      <c r="K25" s="77"/>
      <c r="L25" s="78"/>
      <c r="M25" s="94"/>
      <c r="N25" s="95"/>
      <c r="O25" s="23" t="s">
        <v>12</v>
      </c>
      <c r="P25" s="80"/>
      <c r="Q25" s="80"/>
      <c r="R25" s="79"/>
      <c r="S25" s="79"/>
      <c r="T25" s="79"/>
      <c r="U25" s="70">
        <f t="shared" si="0"/>
        <v>0</v>
      </c>
      <c r="V25" s="71"/>
      <c r="W25" s="72"/>
      <c r="X25" s="2"/>
      <c r="Y25"/>
      <c r="Z25" s="21"/>
      <c r="AA25" s="21"/>
      <c r="AB25" s="8"/>
    </row>
    <row r="26" spans="1:29" s="9" customFormat="1" ht="32.25" customHeight="1" x14ac:dyDescent="0.25">
      <c r="A26" s="8"/>
      <c r="B26" s="73"/>
      <c r="C26" s="74"/>
      <c r="D26" s="75"/>
      <c r="E26" s="75"/>
      <c r="F26" s="75"/>
      <c r="G26" s="76"/>
      <c r="H26" s="77"/>
      <c r="I26" s="77"/>
      <c r="J26" s="77"/>
      <c r="K26" s="77"/>
      <c r="L26" s="78"/>
      <c r="M26" s="81"/>
      <c r="N26" s="81"/>
      <c r="O26" s="23" t="s">
        <v>12</v>
      </c>
      <c r="P26" s="80"/>
      <c r="Q26" s="80"/>
      <c r="R26" s="79"/>
      <c r="S26" s="79"/>
      <c r="T26" s="79"/>
      <c r="U26" s="70">
        <f t="shared" si="0"/>
        <v>0</v>
      </c>
      <c r="V26" s="71"/>
      <c r="W26" s="72"/>
      <c r="X26" s="2"/>
      <c r="Y26"/>
      <c r="Z26" s="21"/>
      <c r="AA26" s="21"/>
      <c r="AB26" s="8"/>
    </row>
    <row r="27" spans="1:29" s="9" customFormat="1" ht="32.25" customHeight="1" x14ac:dyDescent="0.25">
      <c r="A27" s="8"/>
      <c r="B27" s="89"/>
      <c r="C27" s="90"/>
      <c r="D27" s="91"/>
      <c r="E27" s="91"/>
      <c r="F27" s="91"/>
      <c r="G27" s="76"/>
      <c r="H27" s="77"/>
      <c r="I27" s="77"/>
      <c r="J27" s="77"/>
      <c r="K27" s="77"/>
      <c r="L27" s="78"/>
      <c r="M27" s="87"/>
      <c r="N27" s="87"/>
      <c r="O27" s="24" t="s">
        <v>12</v>
      </c>
      <c r="P27" s="88"/>
      <c r="Q27" s="88"/>
      <c r="R27" s="79"/>
      <c r="S27" s="79"/>
      <c r="T27" s="79"/>
      <c r="U27" s="70">
        <f t="shared" si="0"/>
        <v>0</v>
      </c>
      <c r="V27" s="71"/>
      <c r="W27" s="72"/>
      <c r="X27" s="2"/>
      <c r="Y27"/>
      <c r="Z27" s="21"/>
      <c r="AA27" s="21"/>
      <c r="AB27" s="8"/>
      <c r="AC27" s="34"/>
    </row>
    <row r="28" spans="1:29" customFormat="1" ht="27.75" customHeight="1" x14ac:dyDescent="0.25">
      <c r="A28" s="2"/>
      <c r="B28" s="55"/>
      <c r="C28" s="56"/>
      <c r="D28" s="56"/>
      <c r="E28" s="56"/>
      <c r="F28" s="56"/>
      <c r="G28" s="56"/>
      <c r="H28" s="56"/>
      <c r="I28" s="56"/>
      <c r="J28" s="56"/>
      <c r="K28" s="56"/>
      <c r="L28" s="56"/>
      <c r="M28" s="56"/>
      <c r="N28" s="56"/>
      <c r="O28" s="56"/>
      <c r="P28" s="84" t="s">
        <v>11</v>
      </c>
      <c r="Q28" s="85"/>
      <c r="R28" s="85"/>
      <c r="S28" s="85"/>
      <c r="T28" s="86"/>
      <c r="U28" s="70">
        <f>SUM(U18:W27)</f>
        <v>225</v>
      </c>
      <c r="V28" s="92"/>
      <c r="W28" s="93"/>
      <c r="X28" s="2"/>
      <c r="Z28" s="21"/>
      <c r="AA28" s="21"/>
      <c r="AB28" s="2"/>
      <c r="AC28" s="33"/>
    </row>
    <row r="29" spans="1:29" customFormat="1" ht="17.25" customHeight="1" x14ac:dyDescent="0.25">
      <c r="A29" s="2"/>
      <c r="B29" s="19"/>
      <c r="C29" s="3"/>
      <c r="D29" s="3"/>
      <c r="E29" s="3"/>
      <c r="F29" s="3"/>
      <c r="G29" s="3"/>
      <c r="H29" s="3"/>
      <c r="I29" s="3"/>
      <c r="J29" s="3"/>
      <c r="K29" s="3"/>
      <c r="L29" s="3"/>
      <c r="M29" s="3"/>
      <c r="N29" s="3"/>
      <c r="O29" s="3"/>
      <c r="P29" s="3"/>
      <c r="Q29" s="3"/>
      <c r="R29" s="3"/>
      <c r="S29" s="3"/>
      <c r="T29" s="3"/>
      <c r="U29" s="3"/>
      <c r="V29" s="3"/>
      <c r="W29" s="20"/>
      <c r="X29" s="2"/>
      <c r="Y29" s="3"/>
      <c r="Z29" s="3"/>
      <c r="AA29" s="2"/>
      <c r="AB29" s="2"/>
      <c r="AC29" s="2"/>
    </row>
    <row r="30" spans="1:29" customFormat="1" ht="20.25" customHeight="1" x14ac:dyDescent="0.25">
      <c r="A30" s="2"/>
      <c r="B30" s="124" t="s">
        <v>81</v>
      </c>
      <c r="C30" s="99"/>
      <c r="D30" s="99"/>
      <c r="E30" s="99"/>
      <c r="F30" s="99"/>
      <c r="G30" s="99"/>
      <c r="H30" s="99"/>
      <c r="I30" s="99"/>
      <c r="J30" s="99"/>
      <c r="K30" s="99"/>
      <c r="L30" s="99"/>
      <c r="M30" s="99"/>
      <c r="N30" s="99"/>
      <c r="O30" s="99"/>
      <c r="P30" s="99"/>
      <c r="Q30" s="99"/>
      <c r="R30" s="99"/>
      <c r="S30" s="99"/>
      <c r="T30" s="99"/>
      <c r="U30" s="99"/>
      <c r="V30" s="99"/>
      <c r="W30" s="100"/>
      <c r="X30" s="2"/>
      <c r="Y30" s="3"/>
      <c r="Z30" s="3"/>
      <c r="AA30" s="2"/>
      <c r="AB30" s="2"/>
      <c r="AC30" s="2"/>
    </row>
    <row r="31" spans="1:29" customFormat="1" x14ac:dyDescent="0.25">
      <c r="A31" s="2"/>
      <c r="B31" s="132" t="s">
        <v>96</v>
      </c>
      <c r="C31" s="133"/>
      <c r="D31" s="133"/>
      <c r="E31" s="133"/>
      <c r="F31" s="133"/>
      <c r="G31" s="133"/>
      <c r="H31" s="133"/>
      <c r="I31" s="133"/>
      <c r="J31" s="133"/>
      <c r="K31" s="133"/>
      <c r="L31" s="133"/>
      <c r="M31" s="133"/>
      <c r="N31" s="133"/>
      <c r="O31" s="133"/>
      <c r="P31" s="133"/>
      <c r="Q31" s="133"/>
      <c r="R31" s="133"/>
      <c r="S31" s="133"/>
      <c r="T31" s="133"/>
      <c r="U31" s="133"/>
      <c r="V31" s="133"/>
      <c r="W31" s="134"/>
      <c r="X31" s="2"/>
      <c r="Y31" s="3"/>
      <c r="Z31" s="3"/>
      <c r="AA31" s="2"/>
      <c r="AB31" s="2"/>
      <c r="AC31" s="2"/>
    </row>
    <row r="32" spans="1:29" customFormat="1" x14ac:dyDescent="0.25">
      <c r="A32" s="2"/>
      <c r="B32" s="135"/>
      <c r="C32" s="136"/>
      <c r="D32" s="136"/>
      <c r="E32" s="136"/>
      <c r="F32" s="136"/>
      <c r="G32" s="136"/>
      <c r="H32" s="136"/>
      <c r="I32" s="136"/>
      <c r="J32" s="136"/>
      <c r="K32" s="136"/>
      <c r="L32" s="136"/>
      <c r="M32" s="136"/>
      <c r="N32" s="136"/>
      <c r="O32" s="136"/>
      <c r="P32" s="136"/>
      <c r="Q32" s="136"/>
      <c r="R32" s="136"/>
      <c r="S32" s="136"/>
      <c r="T32" s="136"/>
      <c r="U32" s="136"/>
      <c r="V32" s="136"/>
      <c r="W32" s="137"/>
      <c r="X32" s="2"/>
      <c r="Y32" s="3"/>
      <c r="Z32" s="3"/>
      <c r="AA32" s="2"/>
      <c r="AB32" s="2"/>
      <c r="AC32" s="2"/>
    </row>
    <row r="33" spans="1:29" customFormat="1" x14ac:dyDescent="0.25">
      <c r="A33" s="2"/>
      <c r="B33" s="135"/>
      <c r="C33" s="136"/>
      <c r="D33" s="136"/>
      <c r="E33" s="136"/>
      <c r="F33" s="136"/>
      <c r="G33" s="136"/>
      <c r="H33" s="136"/>
      <c r="I33" s="136"/>
      <c r="J33" s="136"/>
      <c r="K33" s="136"/>
      <c r="L33" s="136"/>
      <c r="M33" s="136"/>
      <c r="N33" s="136"/>
      <c r="O33" s="136"/>
      <c r="P33" s="136"/>
      <c r="Q33" s="136"/>
      <c r="R33" s="136"/>
      <c r="S33" s="136"/>
      <c r="T33" s="136"/>
      <c r="U33" s="136"/>
      <c r="V33" s="136"/>
      <c r="W33" s="137"/>
      <c r="X33" s="2"/>
      <c r="Y33" s="3"/>
      <c r="Z33" s="3"/>
      <c r="AA33" s="2"/>
      <c r="AB33" s="2"/>
      <c r="AC33" s="2"/>
    </row>
    <row r="34" spans="1:29" customFormat="1" x14ac:dyDescent="0.25">
      <c r="A34" s="2"/>
      <c r="B34" s="135"/>
      <c r="C34" s="136"/>
      <c r="D34" s="136"/>
      <c r="E34" s="136"/>
      <c r="F34" s="136"/>
      <c r="G34" s="136"/>
      <c r="H34" s="136"/>
      <c r="I34" s="136"/>
      <c r="J34" s="136"/>
      <c r="K34" s="136"/>
      <c r="L34" s="136"/>
      <c r="M34" s="136"/>
      <c r="N34" s="136"/>
      <c r="O34" s="136"/>
      <c r="P34" s="136"/>
      <c r="Q34" s="136"/>
      <c r="R34" s="136"/>
      <c r="S34" s="136"/>
      <c r="T34" s="136"/>
      <c r="U34" s="136"/>
      <c r="V34" s="136"/>
      <c r="W34" s="137"/>
      <c r="X34" s="2"/>
      <c r="Y34" s="3"/>
      <c r="Z34" s="3"/>
      <c r="AA34" s="2"/>
      <c r="AB34" s="2"/>
      <c r="AC34" s="2"/>
    </row>
    <row r="35" spans="1:29" customFormat="1" x14ac:dyDescent="0.25">
      <c r="A35" s="2"/>
      <c r="B35" s="135"/>
      <c r="C35" s="136"/>
      <c r="D35" s="136"/>
      <c r="E35" s="136"/>
      <c r="F35" s="136"/>
      <c r="G35" s="136"/>
      <c r="H35" s="136"/>
      <c r="I35" s="136"/>
      <c r="J35" s="136"/>
      <c r="K35" s="136"/>
      <c r="L35" s="136"/>
      <c r="M35" s="136"/>
      <c r="N35" s="136"/>
      <c r="O35" s="136"/>
      <c r="P35" s="136"/>
      <c r="Q35" s="136"/>
      <c r="R35" s="136"/>
      <c r="S35" s="136"/>
      <c r="T35" s="136"/>
      <c r="U35" s="136"/>
      <c r="V35" s="136"/>
      <c r="W35" s="137"/>
      <c r="X35" s="2"/>
      <c r="Y35" s="3"/>
      <c r="Z35" s="3"/>
      <c r="AA35" s="2"/>
      <c r="AB35" s="2"/>
      <c r="AC35" s="2"/>
    </row>
    <row r="36" spans="1:29" customFormat="1" x14ac:dyDescent="0.25">
      <c r="A36" s="2"/>
      <c r="B36" s="135"/>
      <c r="C36" s="136"/>
      <c r="D36" s="136"/>
      <c r="E36" s="136"/>
      <c r="F36" s="136"/>
      <c r="G36" s="136"/>
      <c r="H36" s="136"/>
      <c r="I36" s="136"/>
      <c r="J36" s="136"/>
      <c r="K36" s="136"/>
      <c r="L36" s="136"/>
      <c r="M36" s="136"/>
      <c r="N36" s="136"/>
      <c r="O36" s="136"/>
      <c r="P36" s="136"/>
      <c r="Q36" s="136"/>
      <c r="R36" s="136"/>
      <c r="S36" s="136"/>
      <c r="T36" s="136"/>
      <c r="U36" s="136"/>
      <c r="V36" s="136"/>
      <c r="W36" s="137"/>
      <c r="X36" s="2"/>
      <c r="Y36" s="3"/>
      <c r="Z36" s="3"/>
      <c r="AA36" s="2"/>
      <c r="AB36" s="2"/>
      <c r="AC36" s="2"/>
    </row>
    <row r="37" spans="1:29" customFormat="1" x14ac:dyDescent="0.25">
      <c r="A37" s="2"/>
      <c r="B37" s="138"/>
      <c r="C37" s="139"/>
      <c r="D37" s="139"/>
      <c r="E37" s="139"/>
      <c r="F37" s="139"/>
      <c r="G37" s="139"/>
      <c r="H37" s="139"/>
      <c r="I37" s="139"/>
      <c r="J37" s="139"/>
      <c r="K37" s="139"/>
      <c r="L37" s="139"/>
      <c r="M37" s="139"/>
      <c r="N37" s="139"/>
      <c r="O37" s="139"/>
      <c r="P37" s="139"/>
      <c r="Q37" s="139"/>
      <c r="R37" s="139"/>
      <c r="S37" s="139"/>
      <c r="T37" s="139"/>
      <c r="U37" s="139"/>
      <c r="V37" s="139"/>
      <c r="W37" s="140"/>
      <c r="X37" s="2"/>
      <c r="Y37" s="3"/>
      <c r="Z37" s="3"/>
      <c r="AA37" s="2"/>
      <c r="AB37" s="2"/>
      <c r="AC37" s="2"/>
    </row>
    <row r="38" spans="1:29" customFormat="1" ht="7.5" customHeight="1" x14ac:dyDescent="0.25">
      <c r="A38" s="2"/>
      <c r="B38" s="38"/>
      <c r="C38" s="37"/>
      <c r="D38" s="37"/>
      <c r="E38" s="37"/>
      <c r="F38" s="37"/>
      <c r="G38" s="37"/>
      <c r="H38" s="37"/>
      <c r="I38" s="37"/>
      <c r="J38" s="37"/>
      <c r="K38" s="37"/>
      <c r="L38" s="37"/>
      <c r="M38" s="37"/>
      <c r="N38" s="37"/>
      <c r="O38" s="37"/>
      <c r="P38" s="37"/>
      <c r="Q38" s="37"/>
      <c r="R38" s="37"/>
      <c r="S38" s="37"/>
      <c r="T38" s="37"/>
      <c r="U38" s="37"/>
      <c r="V38" s="37"/>
      <c r="W38" s="39"/>
      <c r="X38" s="2"/>
      <c r="Y38" s="3"/>
      <c r="Z38" s="3"/>
      <c r="AA38" s="2"/>
      <c r="AB38" s="2"/>
      <c r="AC38" s="2"/>
    </row>
    <row r="39" spans="1:29" customFormat="1" ht="6.75" customHeight="1" x14ac:dyDescent="0.25">
      <c r="A39" s="2"/>
      <c r="B39" s="38"/>
      <c r="C39" s="37"/>
      <c r="D39" s="37"/>
      <c r="E39" s="37"/>
      <c r="F39" s="37"/>
      <c r="G39" s="37"/>
      <c r="H39" s="37"/>
      <c r="I39" s="37"/>
      <c r="J39" s="37"/>
      <c r="K39" s="37"/>
      <c r="L39" s="37"/>
      <c r="M39" s="37"/>
      <c r="N39" s="37"/>
      <c r="O39" s="37"/>
      <c r="P39" s="37"/>
      <c r="Q39" s="37"/>
      <c r="R39" s="37"/>
      <c r="S39" s="37"/>
      <c r="T39" s="37"/>
      <c r="U39" s="37"/>
      <c r="V39" s="37"/>
      <c r="W39" s="39"/>
      <c r="X39" s="2"/>
      <c r="Y39" s="3"/>
      <c r="Z39" s="3"/>
      <c r="AA39" s="2"/>
      <c r="AB39" s="2"/>
      <c r="AC39" s="2"/>
    </row>
    <row r="40" spans="1:29" s="9" customFormat="1" ht="20.25" customHeight="1" x14ac:dyDescent="0.25">
      <c r="A40" s="8"/>
      <c r="B40" s="63" t="s">
        <v>78</v>
      </c>
      <c r="C40" s="64"/>
      <c r="D40" s="64"/>
      <c r="E40" s="64"/>
      <c r="F40" s="64"/>
      <c r="G40" s="64"/>
      <c r="H40" s="64"/>
      <c r="I40" s="64"/>
      <c r="J40" s="64"/>
      <c r="K40" s="64"/>
      <c r="L40" s="64"/>
      <c r="M40" s="64"/>
      <c r="N40" s="64"/>
      <c r="O40" s="64"/>
      <c r="P40" s="64"/>
      <c r="Q40" s="64"/>
      <c r="R40" s="64"/>
      <c r="S40" s="64"/>
      <c r="T40" s="64"/>
      <c r="U40" s="64"/>
      <c r="V40" s="64"/>
      <c r="W40" s="66"/>
      <c r="X40" s="2"/>
      <c r="Y40" s="10"/>
      <c r="Z40" s="10"/>
      <c r="AA40" s="8"/>
      <c r="AB40" s="8"/>
    </row>
    <row r="41" spans="1:29" customFormat="1" ht="17.25" customHeight="1" x14ac:dyDescent="0.25">
      <c r="A41" s="2"/>
      <c r="B41" s="60" t="s">
        <v>97</v>
      </c>
      <c r="C41" s="61"/>
      <c r="D41" s="61"/>
      <c r="E41" s="61"/>
      <c r="F41" s="61"/>
      <c r="G41" s="61"/>
      <c r="H41" s="61"/>
      <c r="I41" s="61"/>
      <c r="J41" s="61"/>
      <c r="K41" s="61"/>
      <c r="L41" s="61"/>
      <c r="M41" s="61"/>
      <c r="N41" s="61"/>
      <c r="O41" s="61"/>
      <c r="P41" s="61"/>
      <c r="Q41" s="61"/>
      <c r="R41" s="61"/>
      <c r="S41" s="61"/>
      <c r="T41" s="61"/>
      <c r="U41" s="61"/>
      <c r="V41" s="61"/>
      <c r="W41" s="62"/>
      <c r="X41" s="2"/>
      <c r="Y41" s="3"/>
      <c r="Z41" s="3"/>
      <c r="AA41" s="2"/>
      <c r="AB41" s="2"/>
    </row>
    <row r="42" spans="1:29" s="9" customFormat="1" ht="18.75" customHeight="1" x14ac:dyDescent="0.25">
      <c r="A42" s="8"/>
      <c r="B42" s="63" t="s">
        <v>79</v>
      </c>
      <c r="C42" s="64"/>
      <c r="D42" s="64"/>
      <c r="E42" s="64"/>
      <c r="F42" s="65"/>
      <c r="G42" s="67" t="s">
        <v>80</v>
      </c>
      <c r="H42" s="64"/>
      <c r="I42" s="64"/>
      <c r="J42" s="64"/>
      <c r="K42" s="64"/>
      <c r="L42" s="64"/>
      <c r="M42" s="64"/>
      <c r="N42" s="64"/>
      <c r="O42" s="64"/>
      <c r="P42" s="64"/>
      <c r="Q42" s="64"/>
      <c r="R42" s="64"/>
      <c r="S42" s="64"/>
      <c r="T42" s="64"/>
      <c r="U42" s="64"/>
      <c r="V42" s="64"/>
      <c r="W42" s="66"/>
      <c r="X42" s="2"/>
      <c r="Y42" s="10"/>
      <c r="Z42" s="10"/>
      <c r="AA42" s="8"/>
      <c r="AB42" s="8"/>
    </row>
    <row r="43" spans="1:29" customFormat="1" ht="16.5" customHeight="1" x14ac:dyDescent="0.25">
      <c r="A43" s="2"/>
      <c r="B43" s="57" t="s">
        <v>55</v>
      </c>
      <c r="C43" s="58"/>
      <c r="D43" s="58"/>
      <c r="E43" s="58"/>
      <c r="F43" s="59"/>
      <c r="G43" s="47">
        <f ca="1">NOW()</f>
        <v>44335.120128935188</v>
      </c>
      <c r="H43" s="48"/>
      <c r="I43" s="48"/>
      <c r="J43" s="48"/>
      <c r="K43" s="48"/>
      <c r="L43" s="49"/>
      <c r="M43" s="49"/>
      <c r="N43" s="49"/>
      <c r="O43" s="50"/>
      <c r="P43" s="50"/>
      <c r="Q43" s="50"/>
      <c r="R43" s="50"/>
      <c r="S43" s="50"/>
      <c r="T43" s="50"/>
      <c r="U43" s="50"/>
      <c r="V43" s="50"/>
      <c r="W43" s="51"/>
      <c r="X43" s="2"/>
      <c r="Y43" s="3"/>
      <c r="Z43" s="3"/>
      <c r="AA43" s="2"/>
      <c r="AB43" s="2"/>
    </row>
    <row r="44" spans="1:29" s="9" customFormat="1" ht="8.25" customHeight="1" x14ac:dyDescent="0.25">
      <c r="A44" s="8"/>
      <c r="B44" s="38"/>
      <c r="C44" s="37"/>
      <c r="D44" s="37"/>
      <c r="E44" s="37"/>
      <c r="F44" s="37"/>
      <c r="G44" s="37"/>
      <c r="H44" s="37"/>
      <c r="I44" s="37"/>
      <c r="J44" s="40"/>
      <c r="K44" s="40"/>
      <c r="L44" s="40"/>
      <c r="M44" s="40"/>
      <c r="N44" s="40"/>
      <c r="O44" s="27"/>
      <c r="P44" s="27"/>
      <c r="Q44" s="27"/>
      <c r="R44" s="27"/>
      <c r="S44" s="27"/>
      <c r="T44" s="27"/>
      <c r="U44" s="27"/>
      <c r="V44" s="27"/>
      <c r="W44" s="41"/>
      <c r="X44" s="2"/>
      <c r="Y44" s="10"/>
      <c r="Z44" s="10"/>
      <c r="AA44" s="8"/>
      <c r="AB44" s="8"/>
    </row>
    <row r="45" spans="1:29" customFormat="1" ht="6.75" customHeight="1" thickBot="1" x14ac:dyDescent="0.3">
      <c r="A45" s="2"/>
      <c r="B45" s="42"/>
      <c r="C45" s="43"/>
      <c r="D45" s="43"/>
      <c r="E45" s="43"/>
      <c r="F45" s="43"/>
      <c r="G45" s="43"/>
      <c r="H45" s="43"/>
      <c r="I45" s="43"/>
      <c r="J45" s="43"/>
      <c r="K45" s="43"/>
      <c r="L45" s="43"/>
      <c r="M45" s="43"/>
      <c r="N45" s="43"/>
      <c r="O45" s="43"/>
      <c r="P45" s="43"/>
      <c r="Q45" s="43"/>
      <c r="R45" s="43"/>
      <c r="S45" s="43"/>
      <c r="T45" s="43"/>
      <c r="U45" s="43"/>
      <c r="V45" s="43"/>
      <c r="W45" s="44"/>
      <c r="X45" s="3"/>
      <c r="Y45" s="3"/>
      <c r="Z45" s="3"/>
      <c r="AA45" s="2"/>
      <c r="AB45" s="2"/>
    </row>
    <row r="46" spans="1:29" customFormat="1" ht="20.25" customHeight="1" x14ac:dyDescent="0.25">
      <c r="A46" s="2"/>
      <c r="B46" s="3"/>
      <c r="C46" s="3"/>
      <c r="D46" s="3"/>
      <c r="E46" s="3"/>
      <c r="F46" s="3"/>
      <c r="G46" s="3"/>
      <c r="H46" s="3"/>
      <c r="I46" s="3"/>
      <c r="J46" s="3"/>
      <c r="K46" s="3"/>
      <c r="L46" s="3"/>
      <c r="M46" s="3"/>
      <c r="N46" s="3"/>
      <c r="O46" s="3"/>
      <c r="P46" s="3"/>
      <c r="Q46" s="3"/>
      <c r="R46" s="130"/>
      <c r="S46" s="130"/>
      <c r="T46" s="130"/>
      <c r="U46" s="130"/>
      <c r="V46" s="130"/>
      <c r="W46" s="130"/>
      <c r="X46" s="3"/>
      <c r="Y46" s="3"/>
      <c r="Z46" s="3"/>
      <c r="AA46" s="2"/>
      <c r="AB46" s="2"/>
    </row>
    <row r="47" spans="1:29" ht="3.75" customHeight="1" x14ac:dyDescent="0.25">
      <c r="R47" s="131"/>
      <c r="S47" s="131"/>
      <c r="T47" s="131"/>
      <c r="U47" s="131"/>
      <c r="V47" s="131"/>
      <c r="W47" s="131"/>
    </row>
    <row r="55" ht="6" customHeight="1" x14ac:dyDescent="0.25"/>
  </sheetData>
  <sheetProtection selectLockedCells="1"/>
  <dataConsolidate/>
  <mergeCells count="98">
    <mergeCell ref="B30:W30"/>
    <mergeCell ref="R46:W47"/>
    <mergeCell ref="B31:W37"/>
    <mergeCell ref="S12:W12"/>
    <mergeCell ref="O12:R12"/>
    <mergeCell ref="U18:W18"/>
    <mergeCell ref="G17:L17"/>
    <mergeCell ref="G18:L18"/>
    <mergeCell ref="B12:M12"/>
    <mergeCell ref="B15:G15"/>
    <mergeCell ref="U17:W17"/>
    <mergeCell ref="M17:N17"/>
    <mergeCell ref="B17:F17"/>
    <mergeCell ref="P17:Q17"/>
    <mergeCell ref="R17:T17"/>
    <mergeCell ref="S13:W13"/>
    <mergeCell ref="O13:R13"/>
    <mergeCell ref="B6:W6"/>
    <mergeCell ref="E2:W3"/>
    <mergeCell ref="O11:W11"/>
    <mergeCell ref="O10:W10"/>
    <mergeCell ref="B11:M11"/>
    <mergeCell ref="B10:M10"/>
    <mergeCell ref="B7:E7"/>
    <mergeCell ref="B8:N8"/>
    <mergeCell ref="O9:W9"/>
    <mergeCell ref="O8:W8"/>
    <mergeCell ref="B9:N9"/>
    <mergeCell ref="B5:W5"/>
    <mergeCell ref="B27:F27"/>
    <mergeCell ref="U28:W28"/>
    <mergeCell ref="R25:T25"/>
    <mergeCell ref="M25:N25"/>
    <mergeCell ref="B13:M13"/>
    <mergeCell ref="J14:W14"/>
    <mergeCell ref="B18:F18"/>
    <mergeCell ref="J15:W15"/>
    <mergeCell ref="R18:T18"/>
    <mergeCell ref="M18:N18"/>
    <mergeCell ref="P18:Q18"/>
    <mergeCell ref="R23:T23"/>
    <mergeCell ref="R26:T26"/>
    <mergeCell ref="U26:W26"/>
    <mergeCell ref="U24:W24"/>
    <mergeCell ref="M23:N23"/>
    <mergeCell ref="P28:T28"/>
    <mergeCell ref="G24:L24"/>
    <mergeCell ref="G25:L25"/>
    <mergeCell ref="M27:N27"/>
    <mergeCell ref="P27:Q27"/>
    <mergeCell ref="R27:T27"/>
    <mergeCell ref="G27:L27"/>
    <mergeCell ref="M26:N26"/>
    <mergeCell ref="P26:Q26"/>
    <mergeCell ref="M24:N24"/>
    <mergeCell ref="B22:F22"/>
    <mergeCell ref="B26:F26"/>
    <mergeCell ref="G26:L26"/>
    <mergeCell ref="B25:F25"/>
    <mergeCell ref="B24:F24"/>
    <mergeCell ref="B23:F23"/>
    <mergeCell ref="M21:N21"/>
    <mergeCell ref="M20:N20"/>
    <mergeCell ref="P20:Q20"/>
    <mergeCell ref="R20:T20"/>
    <mergeCell ref="R22:T22"/>
    <mergeCell ref="M22:N22"/>
    <mergeCell ref="P22:Q22"/>
    <mergeCell ref="U22:W22"/>
    <mergeCell ref="U25:W25"/>
    <mergeCell ref="U23:W23"/>
    <mergeCell ref="P19:Q19"/>
    <mergeCell ref="R19:T19"/>
    <mergeCell ref="P21:Q21"/>
    <mergeCell ref="P24:Q24"/>
    <mergeCell ref="R24:T24"/>
    <mergeCell ref="P23:Q23"/>
    <mergeCell ref="H15:I15"/>
    <mergeCell ref="U27:W27"/>
    <mergeCell ref="B19:F19"/>
    <mergeCell ref="G19:L19"/>
    <mergeCell ref="B21:F21"/>
    <mergeCell ref="R21:T21"/>
    <mergeCell ref="U19:W19"/>
    <mergeCell ref="U21:W21"/>
    <mergeCell ref="U20:W20"/>
    <mergeCell ref="G20:L20"/>
    <mergeCell ref="G21:L21"/>
    <mergeCell ref="B20:F20"/>
    <mergeCell ref="P25:Q25"/>
    <mergeCell ref="G23:L23"/>
    <mergeCell ref="G22:L22"/>
    <mergeCell ref="M19:N19"/>
    <mergeCell ref="B43:F43"/>
    <mergeCell ref="B41:W41"/>
    <mergeCell ref="B42:F42"/>
    <mergeCell ref="B40:W40"/>
    <mergeCell ref="G42:W42"/>
  </mergeCells>
  <conditionalFormatting sqref="R18:T27">
    <cfRule type="cellIs" priority="1" operator="between">
      <formula>0</formula>
      <formula>1</formula>
    </cfRule>
    <cfRule type="cellIs" dxfId="0" priority="2" operator="equal">
      <formula>""""""</formula>
    </cfRule>
  </conditionalFormatting>
  <dataValidations count="6">
    <dataValidation type="textLength" allowBlank="1" showInputMessage="1" showErrorMessage="1" sqref="Y13:AA13" xr:uid="{00000000-0002-0000-0000-000000000000}">
      <formula1>7</formula1>
      <formula2>8</formula2>
    </dataValidation>
    <dataValidation type="custom" showInputMessage="1" showErrorMessage="1" sqref="R18:T18" xr:uid="{00000000-0002-0000-0000-000001000000}">
      <formula1>IF(R18="",R18=0,R18=R18)</formula1>
    </dataValidation>
    <dataValidation type="list" allowBlank="1" showInputMessage="1" showErrorMessage="1" sqref="H15" xr:uid="{00000000-0002-0000-0000-000002000000}">
      <formula1>"Sim,Não"</formula1>
    </dataValidation>
    <dataValidation type="textLength" allowBlank="1" showInputMessage="1" showErrorMessage="1" errorTitle="CEP Inválido" error="Verifique novamente o CEP preenchido." sqref="S13:W13" xr:uid="{00000000-0002-0000-0000-000003000000}">
      <formula1>7</formula1>
      <formula2>8</formula2>
    </dataValidation>
    <dataValidation type="custom" allowBlank="1" showInputMessage="1" showErrorMessage="1" errorTitle="CNPJ/CPF inválido" error="Verifique novamente o CNPJ/CPF digitado." sqref="O9" xr:uid="{00000000-0002-0000-0000-000004000000}">
      <formula1>OR(LEN(O9)=11,LEN(O9)=14)</formula1>
    </dataValidation>
    <dataValidation type="list" allowBlank="1" showInputMessage="1" showErrorMessage="1" sqref="B7" xr:uid="{00000000-0002-0000-0000-000005000000}">
      <formula1>"CIP, FERTRAB"</formula1>
    </dataValidation>
  </dataValidations>
  <pageMargins left="0.51181102362204722" right="0.51181102362204722" top="0.78740157480314965" bottom="0.78740157480314965" header="0.31496062992125984" footer="0.31496062992125984"/>
  <pageSetup paperSize="9" scale="53" orientation="portrait" r:id="rId1"/>
  <drawing r:id="rId2"/>
  <legacyDrawing r:id="rId3"/>
  <controls>
    <mc:AlternateContent xmlns:mc="http://schemas.openxmlformats.org/markup-compatibility/2006">
      <mc:Choice Requires="x14">
        <control shapeId="1035" r:id="rId4" name="Label1">
          <controlPr defaultSize="0" autoLine="0" r:id="rId5">
            <anchor moveWithCells="1">
              <from>
                <xdr:col>19</xdr:col>
                <xdr:colOff>19050</xdr:colOff>
                <xdr:row>45</xdr:row>
                <xdr:rowOff>19050</xdr:rowOff>
              </from>
              <to>
                <xdr:col>23</xdr:col>
                <xdr:colOff>28575</xdr:colOff>
                <xdr:row>54</xdr:row>
                <xdr:rowOff>57150</xdr:rowOff>
              </to>
            </anchor>
          </controlPr>
        </control>
      </mc:Choice>
      <mc:Fallback>
        <control shapeId="1035" r:id="rId4" name="Label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Plan2!$A$2:$A$18</xm:f>
          </x14:formula1>
          <xm:sqref>B43</xm:sqref>
        </x14:dataValidation>
        <x14:dataValidation type="list" allowBlank="1" showInputMessage="1" showErrorMessage="1" xr:uid="{00000000-0002-0000-0000-000007000000}">
          <x14:formula1>
            <xm:f>OFFSET(Plan2!$C$2,0,0,COUNTA(Plan2!$C:$C,$M$2:$N$24)-1)</xm:f>
          </x14:formula1>
          <xm:sqref>M18:N27</xm:sqref>
        </x14:dataValidation>
        <x14:dataValidation type="list" allowBlank="1" showInputMessage="1" showErrorMessage="1" xr:uid="{00000000-0002-0000-0000-000008000000}">
          <x14:formula1>
            <xm:f>Plan2!$I$1:$I$6</xm:f>
          </x14:formula1>
          <xm:sqref>O18:O27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J28"/>
  <sheetViews>
    <sheetView workbookViewId="0">
      <selection activeCell="J1" sqref="J1"/>
    </sheetView>
  </sheetViews>
  <sheetFormatPr defaultRowHeight="15.75" customHeight="1" x14ac:dyDescent="0.25"/>
  <cols>
    <col min="1" max="1" width="30.85546875" bestFit="1" customWidth="1"/>
    <col min="3" max="3" width="40.85546875" customWidth="1"/>
    <col min="10" max="10" width="18.5703125" customWidth="1"/>
  </cols>
  <sheetData>
    <row r="1" spans="1:10" ht="15.75" customHeight="1" x14ac:dyDescent="0.25">
      <c r="A1" s="22" t="s">
        <v>16</v>
      </c>
      <c r="B1" s="22" t="s">
        <v>4</v>
      </c>
      <c r="C1" s="22" t="s">
        <v>57</v>
      </c>
      <c r="D1" s="22"/>
      <c r="I1" t="s">
        <v>12</v>
      </c>
      <c r="J1" t="str">
        <f>nomesolicitante</f>
        <v>Marcelinho</v>
      </c>
    </row>
    <row r="2" spans="1:10" ht="15.75" customHeight="1" x14ac:dyDescent="0.25">
      <c r="A2" t="s">
        <v>52</v>
      </c>
      <c r="B2" s="21" t="s">
        <v>17</v>
      </c>
      <c r="C2" s="26" t="s">
        <v>61</v>
      </c>
      <c r="D2" s="21"/>
      <c r="I2" t="s">
        <v>87</v>
      </c>
    </row>
    <row r="3" spans="1:10" ht="15.75" customHeight="1" x14ac:dyDescent="0.25">
      <c r="A3" s="36" t="s">
        <v>73</v>
      </c>
      <c r="B3" s="21" t="s">
        <v>18</v>
      </c>
      <c r="C3" s="26" t="s">
        <v>62</v>
      </c>
      <c r="D3" s="21"/>
      <c r="I3" t="s">
        <v>88</v>
      </c>
    </row>
    <row r="4" spans="1:10" ht="15.75" customHeight="1" x14ac:dyDescent="0.25">
      <c r="A4" t="s">
        <v>53</v>
      </c>
      <c r="B4" s="21" t="s">
        <v>19</v>
      </c>
      <c r="C4" s="30" t="s">
        <v>68</v>
      </c>
      <c r="D4" s="21"/>
      <c r="I4" t="s">
        <v>89</v>
      </c>
    </row>
    <row r="5" spans="1:10" ht="15.75" customHeight="1" x14ac:dyDescent="0.25">
      <c r="A5" t="s">
        <v>44</v>
      </c>
      <c r="B5" s="21" t="s">
        <v>20</v>
      </c>
      <c r="C5" s="26" t="s">
        <v>59</v>
      </c>
      <c r="D5" s="21"/>
      <c r="I5" t="s">
        <v>90</v>
      </c>
    </row>
    <row r="6" spans="1:10" ht="15.75" customHeight="1" x14ac:dyDescent="0.25">
      <c r="A6" t="s">
        <v>49</v>
      </c>
      <c r="B6" s="21" t="s">
        <v>21</v>
      </c>
      <c r="C6" s="26" t="s">
        <v>60</v>
      </c>
      <c r="D6" s="21"/>
      <c r="I6" t="s">
        <v>91</v>
      </c>
    </row>
    <row r="7" spans="1:10" ht="15.75" customHeight="1" x14ac:dyDescent="0.25">
      <c r="A7" t="s">
        <v>55</v>
      </c>
      <c r="B7" s="21" t="s">
        <v>22</v>
      </c>
      <c r="C7" s="30" t="s">
        <v>64</v>
      </c>
      <c r="D7" s="21"/>
    </row>
    <row r="8" spans="1:10" ht="15.75" customHeight="1" x14ac:dyDescent="0.25">
      <c r="A8" t="s">
        <v>54</v>
      </c>
      <c r="B8" s="21" t="s">
        <v>23</v>
      </c>
      <c r="C8" s="30" t="s">
        <v>65</v>
      </c>
      <c r="D8" s="21"/>
    </row>
    <row r="9" spans="1:10" ht="15.75" customHeight="1" x14ac:dyDescent="0.25">
      <c r="A9" t="s">
        <v>45</v>
      </c>
      <c r="B9" s="21" t="s">
        <v>24</v>
      </c>
      <c r="C9" s="30" t="s">
        <v>67</v>
      </c>
      <c r="D9" s="21"/>
    </row>
    <row r="10" spans="1:10" ht="15.75" customHeight="1" x14ac:dyDescent="0.25">
      <c r="A10" t="s">
        <v>51</v>
      </c>
      <c r="B10" s="21" t="s">
        <v>25</v>
      </c>
      <c r="C10" s="30" t="s">
        <v>66</v>
      </c>
      <c r="D10" s="21"/>
    </row>
    <row r="11" spans="1:10" ht="15.75" customHeight="1" x14ac:dyDescent="0.25">
      <c r="A11" s="36" t="s">
        <v>74</v>
      </c>
      <c r="B11" s="21" t="s">
        <v>26</v>
      </c>
      <c r="C11" s="30" t="s">
        <v>69</v>
      </c>
      <c r="D11" s="21"/>
    </row>
    <row r="12" spans="1:10" ht="15.75" customHeight="1" x14ac:dyDescent="0.25">
      <c r="A12" s="36" t="s">
        <v>75</v>
      </c>
      <c r="B12" s="21" t="s">
        <v>27</v>
      </c>
      <c r="C12" s="25" t="s">
        <v>58</v>
      </c>
      <c r="D12" s="21"/>
    </row>
    <row r="13" spans="1:10" ht="15.75" customHeight="1" x14ac:dyDescent="0.25">
      <c r="A13" t="s">
        <v>46</v>
      </c>
      <c r="B13" s="21" t="s">
        <v>28</v>
      </c>
      <c r="C13" s="30" t="s">
        <v>77</v>
      </c>
      <c r="D13" s="32" t="str">
        <f>IF('Emissão de Nota Fiscal'!M15="","",'Emissão de Nota Fiscal'!M15)</f>
        <v/>
      </c>
    </row>
    <row r="14" spans="1:10" ht="15.75" customHeight="1" x14ac:dyDescent="0.25">
      <c r="A14" t="s">
        <v>47</v>
      </c>
      <c r="B14" s="21" t="s">
        <v>29</v>
      </c>
      <c r="C14" t="str">
        <f t="shared" ref="C14:C22" si="0">D14</f>
        <v>Exportação</v>
      </c>
      <c r="D14" s="32" t="str">
        <f>IF('Emissão de Nota Fiscal'!M18="","",'Emissão de Nota Fiscal'!M18)</f>
        <v>Exportação</v>
      </c>
    </row>
    <row r="15" spans="1:10" ht="15.75" customHeight="1" x14ac:dyDescent="0.25">
      <c r="A15" s="36" t="s">
        <v>76</v>
      </c>
      <c r="B15" s="21" t="s">
        <v>30</v>
      </c>
      <c r="C15" t="str">
        <f t="shared" si="0"/>
        <v>Simples remessa/Outras saídas</v>
      </c>
      <c r="D15" s="32" t="str">
        <f>IF('Emissão de Nota Fiscal'!M19="","/////////////////////////////////////////////",'Emissão de Nota Fiscal'!M19)</f>
        <v>Simples remessa/Outras saídas</v>
      </c>
    </row>
    <row r="16" spans="1:10" ht="15.75" customHeight="1" x14ac:dyDescent="0.25">
      <c r="A16" t="s">
        <v>48</v>
      </c>
      <c r="B16" s="21" t="s">
        <v>31</v>
      </c>
      <c r="C16" t="str">
        <f t="shared" si="0"/>
        <v/>
      </c>
      <c r="D16" s="32" t="str">
        <f>IF('Emissão de Nota Fiscal'!M20="","",'Emissão de Nota Fiscal'!M20)</f>
        <v/>
      </c>
    </row>
    <row r="17" spans="1:4" ht="15.75" customHeight="1" x14ac:dyDescent="0.25">
      <c r="A17" t="s">
        <v>50</v>
      </c>
      <c r="B17" s="21" t="s">
        <v>32</v>
      </c>
      <c r="C17" t="str">
        <f t="shared" si="0"/>
        <v>Para inserir diretamente</v>
      </c>
      <c r="D17" s="32" t="str">
        <f>IF('Emissão de Nota Fiscal'!M21="","Para inserir diretamente",'Emissão de Nota Fiscal'!M21)</f>
        <v>Para inserir diretamente</v>
      </c>
    </row>
    <row r="18" spans="1:4" ht="15.75" customHeight="1" x14ac:dyDescent="0.25">
      <c r="A18" t="str">
        <f>IF('Emissão de Nota Fiscal'!B43&lt;&gt;"",'Emissão de Nota Fiscal'!B43)</f>
        <v>Diretoria</v>
      </c>
      <c r="B18" s="21" t="s">
        <v>33</v>
      </c>
      <c r="C18" t="str">
        <f t="shared" si="0"/>
        <v>um novo valor para o campo</v>
      </c>
      <c r="D18" s="32" t="str">
        <f>IF('Emissão de Nota Fiscal'!M22="","um novo valor para o campo",'Emissão de Nota Fiscal'!M22)</f>
        <v>um novo valor para o campo</v>
      </c>
    </row>
    <row r="19" spans="1:4" ht="15.75" customHeight="1" x14ac:dyDescent="0.25">
      <c r="B19" s="21" t="s">
        <v>34</v>
      </c>
      <c r="C19" t="str">
        <f t="shared" si="0"/>
        <v>basta digitar diretamente na célula</v>
      </c>
      <c r="D19" s="32" t="str">
        <f>IF('Emissão de Nota Fiscal'!M23="","basta digitar diretamente na célula",'Emissão de Nota Fiscal'!M23)</f>
        <v>basta digitar diretamente na célula</v>
      </c>
    </row>
    <row r="20" spans="1:4" ht="15.75" customHeight="1" x14ac:dyDescent="0.25">
      <c r="B20" s="21" t="s">
        <v>35</v>
      </c>
      <c r="C20" t="str">
        <f t="shared" si="0"/>
        <v>e apertar o enter no teclado</v>
      </c>
      <c r="D20" s="32" t="str">
        <f>IF('Emissão de Nota Fiscal'!M24="","e apertar o enter no teclado",'Emissão de Nota Fiscal'!M24)</f>
        <v>e apertar o enter no teclado</v>
      </c>
    </row>
    <row r="21" spans="1:4" ht="15.75" customHeight="1" x14ac:dyDescent="0.25">
      <c r="B21" s="21" t="s">
        <v>36</v>
      </c>
      <c r="C21" t="str">
        <f t="shared" si="0"/>
        <v/>
      </c>
      <c r="D21" s="32" t="str">
        <f>IF('Emissão de Nota Fiscal'!M25="","",'Emissão de Nota Fiscal'!M25)</f>
        <v/>
      </c>
    </row>
    <row r="22" spans="1:4" ht="15.75" customHeight="1" x14ac:dyDescent="0.25">
      <c r="B22" s="21" t="s">
        <v>37</v>
      </c>
      <c r="C22" t="str">
        <f t="shared" si="0"/>
        <v>/////////////////////////////////////////////</v>
      </c>
      <c r="D22" s="32" t="str">
        <f>IF('Emissão de Nota Fiscal'!M26="","/////////////////////////////////////////////",'Emissão de Nota Fiscal'!M26)</f>
        <v>/////////////////////////////////////////////</v>
      </c>
    </row>
    <row r="23" spans="1:4" ht="15.75" customHeight="1" x14ac:dyDescent="0.25">
      <c r="B23" s="21" t="s">
        <v>38</v>
      </c>
    </row>
    <row r="24" spans="1:4" ht="15.75" customHeight="1" x14ac:dyDescent="0.25">
      <c r="B24" s="21" t="s">
        <v>39</v>
      </c>
      <c r="C24" t="str">
        <f t="shared" ref="C24" si="1">D24</f>
        <v/>
      </c>
      <c r="D24" s="32" t="str">
        <f>IF('Emissão de Nota Fiscal'!M27="","",'Emissão de Nota Fiscal'!M27)</f>
        <v/>
      </c>
    </row>
    <row r="25" spans="1:4" ht="15.75" customHeight="1" x14ac:dyDescent="0.25">
      <c r="B25" s="21" t="s">
        <v>40</v>
      </c>
      <c r="D25" s="32"/>
    </row>
    <row r="26" spans="1:4" ht="15.75" customHeight="1" x14ac:dyDescent="0.25">
      <c r="B26" s="21" t="s">
        <v>41</v>
      </c>
      <c r="D26" s="32"/>
    </row>
    <row r="27" spans="1:4" ht="15.75" customHeight="1" x14ac:dyDescent="0.25">
      <c r="B27" s="21" t="s">
        <v>42</v>
      </c>
    </row>
    <row r="28" spans="1:4" ht="15.75" customHeight="1" x14ac:dyDescent="0.25">
      <c r="B28" s="21" t="s">
        <v>43</v>
      </c>
    </row>
  </sheetData>
  <sortState xmlns:xlrd2="http://schemas.microsoft.com/office/spreadsheetml/2017/richdata2" ref="C3:C13">
    <sortCondition ref="C2"/>
  </sortState>
  <dataValidations disablePrompts="1" count="1">
    <dataValidation type="list" allowBlank="1" showInputMessage="1" showErrorMessage="1" sqref="C24 C14:C22" xr:uid="{00000000-0002-0000-0100-000000000000}">
      <formula1>$D$14</formula1>
    </dataValidation>
  </dataValidations>
  <pageMargins left="0.511811024" right="0.511811024" top="0.78740157499999996" bottom="0.78740157499999996" header="0.31496062000000002" footer="0.31496062000000002"/>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
  <sheetViews>
    <sheetView workbookViewId="0"/>
  </sheetViews>
  <sheetFormatPr defaultRowHeight="15" x14ac:dyDescent="0.25"/>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vt:i4>
      </vt:variant>
      <vt:variant>
        <vt:lpstr>Intervalos Nomeados</vt:lpstr>
      </vt:variant>
      <vt:variant>
        <vt:i4>3</vt:i4>
      </vt:variant>
    </vt:vector>
  </HeadingPairs>
  <TitlesOfParts>
    <vt:vector size="6" baseType="lpstr">
      <vt:lpstr>Emissão de Nota Fiscal</vt:lpstr>
      <vt:lpstr>Plan2</vt:lpstr>
      <vt:lpstr>Plan3</vt:lpstr>
      <vt:lpstr>finalidade</vt:lpstr>
      <vt:lpstr>natop</vt:lpstr>
      <vt:lpstr>nomesolicitante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Auxiliar_CPD</dc:creator>
  <cp:lastModifiedBy>Lucas</cp:lastModifiedBy>
  <cp:lastPrinted>2019-11-01T14:18:48Z</cp:lastPrinted>
  <dcterms:created xsi:type="dcterms:W3CDTF">2019-06-19T11:03:01Z</dcterms:created>
  <dcterms:modified xsi:type="dcterms:W3CDTF">2021-05-19T06:00:21Z</dcterms:modified>
</cp:coreProperties>
</file>

<file path=userCustomization/customUI.xml><?xml version="1.0" encoding="utf-8"?>
<mso:customUI xmlns:mso="http://schemas.microsoft.com/office/2006/01/customui">
  <mso:ribbon>
    <mso:qat>
      <mso:documentControls>
        <mso:control idQ="mso:SendCopySendToMailRecipient" visible="true"/>
        <mso:control idQ="mso:SendCopySendNow" visible="true"/>
      </mso:documentControls>
    </mso:qat>
  </mso:ribbon>
</mso:customUI>
</file>